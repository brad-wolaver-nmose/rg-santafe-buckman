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brad_wolaver_ose_nm_gov/Documents/Documents/_Projects/_APPs/RG/City_Santa_Fe/Buckman/Reporting/2024 Depletion Memo/TABLES/"/>
    </mc:Choice>
  </mc:AlternateContent>
  <xr:revisionPtr revIDLastSave="110" documentId="8_{7A1F1533-AFE5-4BB6-AE23-E4E721244DD3}" xr6:coauthVersionLast="47" xr6:coauthVersionMax="47" xr10:uidLastSave="{92083287-862B-4C43-B8A1-828B2FEB65EE}"/>
  <bookViews>
    <workbookView xWindow="-120" yWindow="-120" windowWidth="29040" windowHeight="17520" xr2:uid="{0F86D499-3F6C-4A61-950C-60785675ADA2}"/>
  </bookViews>
  <sheets>
    <sheet name="Table1_data_afy_202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38" i="2"/>
  <c r="O38" i="1"/>
  <c r="N47" i="1"/>
  <c r="C45" i="1"/>
  <c r="D45" i="1"/>
  <c r="E45" i="1"/>
  <c r="F45" i="1"/>
  <c r="G45" i="1"/>
  <c r="H45" i="1"/>
  <c r="I45" i="1"/>
  <c r="J45" i="1"/>
  <c r="K45" i="1"/>
  <c r="N48" i="1" s="1"/>
  <c r="L45" i="1"/>
  <c r="M45" i="1"/>
  <c r="N45" i="1"/>
  <c r="B45" i="1"/>
  <c r="O45" i="1" l="1"/>
</calcChain>
</file>

<file path=xl/sharedStrings.xml><?xml version="1.0" encoding="utf-8"?>
<sst xmlns="http://schemas.openxmlformats.org/spreadsheetml/2006/main" count="11" uniqueCount="8">
  <si>
    <t>3/3A</t>
  </si>
  <si>
    <t>Total</t>
  </si>
  <si>
    <t>Average,
1988–2024</t>
  </si>
  <si>
    <t>Average,
2022–2024</t>
  </si>
  <si>
    <t>Well:</t>
  </si>
  <si>
    <t>Total, Sort</t>
  </si>
  <si>
    <t>*</t>
  </si>
  <si>
    <t>Pecent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</si>
</sst>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6" fillId="33" borderId="13" xfId="0" applyFont="1" applyFill="1" applyBorder="1" applyAlignment="1">
      <alignment horizontal="center"/>
    </xf>
    <xf numFmtId="4" fontId="0" fillId="33" borderId="10" xfId="0" applyNumberFormat="1" applyFill="1" applyBorder="1"/>
    <xf numFmtId="4" fontId="0" fillId="33" borderId="11" xfId="0" applyNumberFormat="1" applyFill="1" applyBorder="1"/>
    <xf numFmtId="4" fontId="0" fillId="33" borderId="12" xfId="0" applyNumberFormat="1" applyFill="1" applyBorder="1"/>
    <xf numFmtId="0" fontId="16" fillId="33" borderId="14" xfId="0" applyFont="1" applyFill="1" applyBorder="1" applyAlignment="1">
      <alignment wrapText="1"/>
    </xf>
    <xf numFmtId="4" fontId="0" fillId="33" borderId="14" xfId="0" applyNumberFormat="1" applyFill="1" applyBorder="1"/>
    <xf numFmtId="0" fontId="16" fillId="33" borderId="15" xfId="0" applyFont="1" applyFill="1" applyBorder="1" applyAlignment="1">
      <alignment wrapText="1"/>
    </xf>
    <xf numFmtId="4" fontId="0" fillId="33" borderId="15" xfId="0" applyNumberFormat="1" applyFill="1" applyBorder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right"/>
    </xf>
    <xf numFmtId="9" fontId="0" fillId="0" borderId="0" xfId="42" applyFont="1"/>
    <xf numFmtId="10" fontId="0" fillId="0" borderId="0" xfId="42" applyNumberFormat="1" applyFont="1"/>
    <xf numFmtId="0" fontId="16" fillId="34" borderId="13" xfId="0" applyFont="1" applyFill="1" applyBorder="1" applyAlignment="1">
      <alignment horizontal="center"/>
    </xf>
    <xf numFmtId="10" fontId="0" fillId="34" borderId="0" xfId="42" applyNumberFormat="1" applyFont="1" applyFill="1"/>
    <xf numFmtId="4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3F19-F164-4014-8D57-E3B416045D4F}">
  <dimension ref="A1:U48"/>
  <sheetViews>
    <sheetView tabSelected="1" topLeftCell="A21" workbookViewId="0">
      <selection activeCell="O40" sqref="A9:O40"/>
    </sheetView>
  </sheetViews>
  <sheetFormatPr defaultRowHeight="15" x14ac:dyDescent="0.25"/>
  <cols>
    <col min="1" max="1" width="12.75" customWidth="1"/>
    <col min="15" max="15" width="11.75" customWidth="1"/>
  </cols>
  <sheetData>
    <row r="1" spans="1:20" s="1" customFormat="1" ht="15.75" thickBot="1" x14ac:dyDescent="0.3">
      <c r="A1" s="13" t="s">
        <v>4</v>
      </c>
      <c r="B1" s="2">
        <v>1</v>
      </c>
      <c r="C1" s="2">
        <v>2</v>
      </c>
      <c r="D1" s="2" t="s">
        <v>0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 t="s">
        <v>1</v>
      </c>
      <c r="T1" s="1" t="s">
        <v>5</v>
      </c>
    </row>
    <row r="2" spans="1:20" x14ac:dyDescent="0.25">
      <c r="A2" s="10">
        <v>1988</v>
      </c>
      <c r="B2" s="3">
        <v>547.85</v>
      </c>
      <c r="C2" s="3">
        <v>742.16</v>
      </c>
      <c r="D2" s="3">
        <v>82.49</v>
      </c>
      <c r="E2" s="3">
        <v>465.34</v>
      </c>
      <c r="F2" s="3">
        <v>52.44</v>
      </c>
      <c r="G2" s="3">
        <v>581.03</v>
      </c>
      <c r="H2" s="3"/>
      <c r="I2" s="3"/>
      <c r="J2" s="3"/>
      <c r="K2" s="3"/>
      <c r="L2" s="3"/>
      <c r="M2" s="3"/>
      <c r="N2" s="3"/>
      <c r="O2" s="3">
        <v>2471.31</v>
      </c>
      <c r="T2" s="4">
        <v>5936.84</v>
      </c>
    </row>
    <row r="3" spans="1:20" x14ac:dyDescent="0.25">
      <c r="A3" s="11">
        <v>1989</v>
      </c>
      <c r="B3" s="4">
        <v>563.1</v>
      </c>
      <c r="C3" s="4">
        <v>1271.6500000000001</v>
      </c>
      <c r="D3" s="4">
        <v>260.73</v>
      </c>
      <c r="E3" s="4">
        <v>1049.03</v>
      </c>
      <c r="F3" s="4">
        <v>146.30000000000001</v>
      </c>
      <c r="G3" s="4">
        <v>1259.71</v>
      </c>
      <c r="H3" s="4"/>
      <c r="I3" s="4"/>
      <c r="J3" s="4"/>
      <c r="K3" s="4"/>
      <c r="L3" s="4"/>
      <c r="M3" s="4"/>
      <c r="N3" s="4"/>
      <c r="O3" s="4">
        <v>4550.5200000000004</v>
      </c>
      <c r="T3" s="4">
        <v>5920.4</v>
      </c>
    </row>
    <row r="4" spans="1:20" x14ac:dyDescent="0.25">
      <c r="A4" s="11">
        <v>1990</v>
      </c>
      <c r="B4" s="4">
        <v>333.83</v>
      </c>
      <c r="C4" s="4">
        <v>840.18</v>
      </c>
      <c r="D4" s="4">
        <v>263.18</v>
      </c>
      <c r="E4" s="4">
        <v>1041.18</v>
      </c>
      <c r="F4" s="4">
        <v>142.5</v>
      </c>
      <c r="G4" s="4">
        <v>1202.73</v>
      </c>
      <c r="H4" s="4"/>
      <c r="I4" s="4"/>
      <c r="J4" s="4"/>
      <c r="K4" s="4"/>
      <c r="L4" s="4"/>
      <c r="M4" s="4"/>
      <c r="N4" s="4"/>
      <c r="O4" s="4">
        <v>3823.6</v>
      </c>
      <c r="T4" s="4">
        <v>5835.65</v>
      </c>
    </row>
    <row r="5" spans="1:20" x14ac:dyDescent="0.25">
      <c r="A5" s="11">
        <v>1991</v>
      </c>
      <c r="B5" s="4">
        <v>200.79</v>
      </c>
      <c r="C5" s="4">
        <v>544.79</v>
      </c>
      <c r="D5" s="4">
        <v>177.28</v>
      </c>
      <c r="E5" s="4">
        <v>625.51</v>
      </c>
      <c r="F5" s="4">
        <v>109.6</v>
      </c>
      <c r="G5" s="4">
        <v>801.59</v>
      </c>
      <c r="H5" s="4">
        <v>301.83</v>
      </c>
      <c r="I5" s="4">
        <v>377.5</v>
      </c>
      <c r="J5" s="4"/>
      <c r="K5" s="4"/>
      <c r="L5" s="4"/>
      <c r="M5" s="4"/>
      <c r="N5" s="4"/>
      <c r="O5" s="4">
        <v>3138.89</v>
      </c>
      <c r="T5" s="4">
        <v>5807.09</v>
      </c>
    </row>
    <row r="6" spans="1:20" x14ac:dyDescent="0.25">
      <c r="A6" s="11">
        <v>1992</v>
      </c>
      <c r="B6" s="4">
        <v>194.44</v>
      </c>
      <c r="C6" s="4">
        <v>729.85</v>
      </c>
      <c r="D6" s="4">
        <v>112.18</v>
      </c>
      <c r="E6" s="4">
        <v>497.37</v>
      </c>
      <c r="F6" s="4">
        <v>48.19</v>
      </c>
      <c r="G6" s="4">
        <v>1215.33</v>
      </c>
      <c r="H6" s="4">
        <v>993.01</v>
      </c>
      <c r="I6" s="4">
        <v>961.78</v>
      </c>
      <c r="J6" s="4"/>
      <c r="K6" s="4"/>
      <c r="L6" s="4"/>
      <c r="M6" s="4"/>
      <c r="N6" s="4"/>
      <c r="O6" s="4">
        <v>4752.1499999999996</v>
      </c>
      <c r="T6" s="4">
        <v>5675.67</v>
      </c>
    </row>
    <row r="7" spans="1:20" x14ac:dyDescent="0.25">
      <c r="A7" s="11">
        <v>1993</v>
      </c>
      <c r="B7" s="4">
        <v>692.78</v>
      </c>
      <c r="C7" s="4">
        <v>735.49</v>
      </c>
      <c r="D7" s="4">
        <v>137.31</v>
      </c>
      <c r="E7" s="4">
        <v>647.47</v>
      </c>
      <c r="F7" s="4">
        <v>140.81</v>
      </c>
      <c r="G7" s="4">
        <v>1222.32</v>
      </c>
      <c r="H7" s="4">
        <v>1070.03</v>
      </c>
      <c r="I7" s="4">
        <v>962.28</v>
      </c>
      <c r="J7" s="4"/>
      <c r="K7" s="4"/>
      <c r="L7" s="4"/>
      <c r="M7" s="4"/>
      <c r="N7" s="4"/>
      <c r="O7" s="4">
        <v>5608.49</v>
      </c>
      <c r="T7" s="4">
        <v>5608.49</v>
      </c>
    </row>
    <row r="8" spans="1:20" x14ac:dyDescent="0.25">
      <c r="A8" s="11">
        <v>1994</v>
      </c>
      <c r="B8" s="4">
        <v>707.94</v>
      </c>
      <c r="C8" s="4">
        <v>743.24</v>
      </c>
      <c r="D8" s="4">
        <v>125.12</v>
      </c>
      <c r="E8" s="4">
        <v>667.62</v>
      </c>
      <c r="F8" s="4">
        <v>242.34</v>
      </c>
      <c r="G8" s="4">
        <v>1051.71</v>
      </c>
      <c r="H8" s="4">
        <v>638.05999999999995</v>
      </c>
      <c r="I8" s="4">
        <v>777.44</v>
      </c>
      <c r="J8" s="4"/>
      <c r="K8" s="4"/>
      <c r="L8" s="4"/>
      <c r="M8" s="4"/>
      <c r="N8" s="4"/>
      <c r="O8" s="4">
        <v>4953.47</v>
      </c>
      <c r="T8" s="4">
        <v>5278.54</v>
      </c>
    </row>
    <row r="9" spans="1:20" x14ac:dyDescent="0.25">
      <c r="A9" s="11">
        <v>1995</v>
      </c>
      <c r="B9" s="4">
        <v>945.4</v>
      </c>
      <c r="C9" s="4">
        <v>824.76</v>
      </c>
      <c r="D9" s="4">
        <v>351.55</v>
      </c>
      <c r="E9" s="4">
        <v>765.18</v>
      </c>
      <c r="F9" s="4">
        <v>384.14</v>
      </c>
      <c r="G9" s="4">
        <v>1009.37</v>
      </c>
      <c r="H9" s="4">
        <v>861.37</v>
      </c>
      <c r="I9" s="4">
        <v>778.63</v>
      </c>
      <c r="J9" s="4"/>
      <c r="K9" s="4"/>
      <c r="L9" s="4"/>
      <c r="M9" s="4"/>
      <c r="N9" s="4"/>
      <c r="O9" s="4">
        <v>5920.4</v>
      </c>
      <c r="T9" s="4">
        <v>5235.5200000000004</v>
      </c>
    </row>
    <row r="10" spans="1:20" x14ac:dyDescent="0.25">
      <c r="A10" s="11">
        <v>1996</v>
      </c>
      <c r="B10" s="4">
        <v>935.43</v>
      </c>
      <c r="C10" s="4">
        <v>707.33</v>
      </c>
      <c r="D10" s="4">
        <v>616.53</v>
      </c>
      <c r="E10" s="4">
        <v>631.95000000000005</v>
      </c>
      <c r="F10" s="4">
        <v>437.94</v>
      </c>
      <c r="G10" s="4">
        <v>972.46</v>
      </c>
      <c r="H10" s="4">
        <v>592.58000000000004</v>
      </c>
      <c r="I10" s="4">
        <v>781.45</v>
      </c>
      <c r="J10" s="4"/>
      <c r="K10" s="4"/>
      <c r="L10" s="4"/>
      <c r="M10" s="4"/>
      <c r="N10" s="4"/>
      <c r="O10" s="4">
        <v>5675.67</v>
      </c>
      <c r="T10" s="4">
        <v>5197.07</v>
      </c>
    </row>
    <row r="11" spans="1:20" x14ac:dyDescent="0.25">
      <c r="A11" s="11">
        <v>1997</v>
      </c>
      <c r="B11" s="4">
        <v>924.65</v>
      </c>
      <c r="C11" s="4">
        <v>815.53</v>
      </c>
      <c r="D11" s="4">
        <v>467.03</v>
      </c>
      <c r="E11" s="4">
        <v>453.35</v>
      </c>
      <c r="F11" s="4">
        <v>139.11000000000001</v>
      </c>
      <c r="G11" s="4">
        <v>1030.8599999999999</v>
      </c>
      <c r="H11" s="4">
        <v>497.11</v>
      </c>
      <c r="I11" s="4">
        <v>347.11</v>
      </c>
      <c r="J11" s="4"/>
      <c r="K11" s="4"/>
      <c r="L11" s="4"/>
      <c r="M11" s="4"/>
      <c r="N11" s="4"/>
      <c r="O11" s="4">
        <v>4674.75</v>
      </c>
      <c r="T11" s="4">
        <v>5080.6000000000004</v>
      </c>
    </row>
    <row r="12" spans="1:20" x14ac:dyDescent="0.25">
      <c r="A12" s="11">
        <v>1998</v>
      </c>
      <c r="B12" s="4">
        <v>680.42</v>
      </c>
      <c r="C12" s="4">
        <v>878.84</v>
      </c>
      <c r="D12" s="4">
        <v>457.5</v>
      </c>
      <c r="E12" s="4">
        <v>399.05</v>
      </c>
      <c r="F12" s="4">
        <v>110.57</v>
      </c>
      <c r="G12" s="4">
        <v>1042.8</v>
      </c>
      <c r="H12" s="4">
        <v>742.71</v>
      </c>
      <c r="I12" s="4">
        <v>923.63</v>
      </c>
      <c r="J12" s="4"/>
      <c r="K12" s="4"/>
      <c r="L12" s="4"/>
      <c r="M12" s="4"/>
      <c r="N12" s="4"/>
      <c r="O12" s="4">
        <v>5235.5200000000004</v>
      </c>
      <c r="T12" s="4">
        <v>4953.47</v>
      </c>
    </row>
    <row r="13" spans="1:20" x14ac:dyDescent="0.25">
      <c r="A13" s="11">
        <v>1999</v>
      </c>
      <c r="B13" s="4">
        <v>624.75</v>
      </c>
      <c r="C13" s="4">
        <v>841.62</v>
      </c>
      <c r="D13" s="4">
        <v>415.54</v>
      </c>
      <c r="E13" s="4">
        <v>353.42</v>
      </c>
      <c r="F13" s="4">
        <v>0</v>
      </c>
      <c r="G13" s="4">
        <v>993.7</v>
      </c>
      <c r="H13" s="4">
        <v>1159.01</v>
      </c>
      <c r="I13" s="4">
        <v>890.5</v>
      </c>
      <c r="J13" s="4"/>
      <c r="K13" s="4"/>
      <c r="L13" s="4"/>
      <c r="M13" s="4"/>
      <c r="N13" s="4"/>
      <c r="O13" s="4">
        <v>5278.54</v>
      </c>
      <c r="T13" s="4">
        <v>4752.1499999999996</v>
      </c>
    </row>
    <row r="14" spans="1:20" x14ac:dyDescent="0.25">
      <c r="A14" s="11">
        <v>2000</v>
      </c>
      <c r="B14" s="4">
        <v>626.28</v>
      </c>
      <c r="C14" s="4">
        <v>720.21</v>
      </c>
      <c r="D14" s="4">
        <v>519.29999999999995</v>
      </c>
      <c r="E14" s="4">
        <v>266.5</v>
      </c>
      <c r="F14" s="4">
        <v>0</v>
      </c>
      <c r="G14" s="4">
        <v>914.97</v>
      </c>
      <c r="H14" s="4">
        <v>1169.0999999999999</v>
      </c>
      <c r="I14" s="4">
        <v>864.24</v>
      </c>
      <c r="J14" s="4"/>
      <c r="K14" s="4"/>
      <c r="L14" s="4"/>
      <c r="M14" s="4"/>
      <c r="N14" s="4"/>
      <c r="O14" s="4">
        <v>5080.6000000000004</v>
      </c>
      <c r="T14" s="4">
        <v>4743.34</v>
      </c>
    </row>
    <row r="15" spans="1:20" x14ac:dyDescent="0.25">
      <c r="A15" s="11">
        <v>2001</v>
      </c>
      <c r="B15" s="4">
        <v>716.03</v>
      </c>
      <c r="C15" s="4">
        <v>489.8</v>
      </c>
      <c r="D15" s="4">
        <v>436.06</v>
      </c>
      <c r="E15" s="4">
        <v>354.01</v>
      </c>
      <c r="F15" s="4">
        <v>0</v>
      </c>
      <c r="G15" s="4">
        <v>1037.4100000000001</v>
      </c>
      <c r="H15" s="4">
        <v>1032.51</v>
      </c>
      <c r="I15" s="4">
        <v>677.52</v>
      </c>
      <c r="J15" s="4"/>
      <c r="K15" s="4"/>
      <c r="L15" s="4"/>
      <c r="M15" s="4"/>
      <c r="N15" s="4"/>
      <c r="O15" s="4">
        <v>4743.34</v>
      </c>
      <c r="T15" s="4">
        <v>4674.75</v>
      </c>
    </row>
    <row r="16" spans="1:20" x14ac:dyDescent="0.25">
      <c r="A16" s="11">
        <v>2002</v>
      </c>
      <c r="B16" s="4">
        <v>730.45</v>
      </c>
      <c r="C16" s="4">
        <v>583.98</v>
      </c>
      <c r="D16" s="4">
        <v>416.69</v>
      </c>
      <c r="E16" s="4">
        <v>554.62</v>
      </c>
      <c r="F16" s="4">
        <v>265.43</v>
      </c>
      <c r="G16" s="4">
        <v>1272.77</v>
      </c>
      <c r="H16" s="4">
        <v>1145.18</v>
      </c>
      <c r="I16" s="4">
        <v>866.53</v>
      </c>
      <c r="J16" s="4"/>
      <c r="K16" s="4"/>
      <c r="L16" s="4"/>
      <c r="M16" s="4"/>
      <c r="N16" s="4"/>
      <c r="O16" s="4">
        <v>5835.65</v>
      </c>
      <c r="T16" s="4">
        <v>4550.5200000000004</v>
      </c>
    </row>
    <row r="17" spans="1:21" x14ac:dyDescent="0.25">
      <c r="A17" s="11">
        <v>2003</v>
      </c>
      <c r="B17" s="4">
        <v>508.17</v>
      </c>
      <c r="C17" s="4">
        <v>540.25</v>
      </c>
      <c r="D17" s="4">
        <v>337.84</v>
      </c>
      <c r="E17" s="4">
        <v>368.17</v>
      </c>
      <c r="F17" s="4">
        <v>234.42</v>
      </c>
      <c r="G17" s="4">
        <v>1187.8699999999999</v>
      </c>
      <c r="H17" s="4">
        <v>987.07</v>
      </c>
      <c r="I17" s="4">
        <v>780.44</v>
      </c>
      <c r="J17" s="4">
        <v>292.08</v>
      </c>
      <c r="K17" s="4">
        <v>0.03</v>
      </c>
      <c r="L17" s="4">
        <v>251.23</v>
      </c>
      <c r="M17" s="4">
        <v>259.45</v>
      </c>
      <c r="N17" s="4">
        <v>60.07</v>
      </c>
      <c r="O17" s="4">
        <v>5807.09</v>
      </c>
      <c r="T17" s="4">
        <v>3823.6</v>
      </c>
    </row>
    <row r="18" spans="1:21" x14ac:dyDescent="0.25">
      <c r="A18" s="11">
        <v>2004</v>
      </c>
      <c r="B18" s="4">
        <v>26.51</v>
      </c>
      <c r="C18" s="4">
        <v>6.17</v>
      </c>
      <c r="D18" s="4">
        <v>73.44</v>
      </c>
      <c r="E18" s="4">
        <v>555.22</v>
      </c>
      <c r="F18" s="4">
        <v>3.76</v>
      </c>
      <c r="G18" s="4">
        <v>958.14</v>
      </c>
      <c r="H18" s="4">
        <v>277.25</v>
      </c>
      <c r="I18" s="4">
        <v>652.62</v>
      </c>
      <c r="J18" s="4">
        <v>5.67</v>
      </c>
      <c r="K18" s="4">
        <v>453.64</v>
      </c>
      <c r="L18" s="4">
        <v>710.82</v>
      </c>
      <c r="M18" s="4">
        <v>948.33</v>
      </c>
      <c r="N18" s="4">
        <v>1265.27</v>
      </c>
      <c r="O18" s="4">
        <v>5936.84</v>
      </c>
      <c r="T18" s="4">
        <v>3802.33</v>
      </c>
    </row>
    <row r="19" spans="1:21" x14ac:dyDescent="0.25">
      <c r="A19" s="11">
        <v>2005</v>
      </c>
      <c r="B19" s="4">
        <v>4.99</v>
      </c>
      <c r="C19" s="4">
        <v>6.39</v>
      </c>
      <c r="D19" s="4">
        <v>105.14</v>
      </c>
      <c r="E19" s="4">
        <v>510.34</v>
      </c>
      <c r="F19" s="4">
        <v>1.04</v>
      </c>
      <c r="G19" s="4">
        <v>367.4</v>
      </c>
      <c r="H19" s="4">
        <v>1223.04</v>
      </c>
      <c r="I19" s="4">
        <v>797.05</v>
      </c>
      <c r="J19" s="4">
        <v>1.73</v>
      </c>
      <c r="K19" s="4">
        <v>22.76</v>
      </c>
      <c r="L19" s="4">
        <v>367.91</v>
      </c>
      <c r="M19" s="4">
        <v>216.31</v>
      </c>
      <c r="N19" s="4">
        <v>160.25</v>
      </c>
      <c r="O19" s="4">
        <v>3784.35</v>
      </c>
      <c r="T19" s="4">
        <v>3793.37</v>
      </c>
    </row>
    <row r="20" spans="1:21" x14ac:dyDescent="0.25">
      <c r="A20" s="11">
        <v>2006</v>
      </c>
      <c r="B20" s="4">
        <v>20</v>
      </c>
      <c r="C20" s="4">
        <v>150.22999999999999</v>
      </c>
      <c r="D20" s="4">
        <v>247.19</v>
      </c>
      <c r="E20" s="4">
        <v>612.03</v>
      </c>
      <c r="F20" s="4">
        <v>7.66</v>
      </c>
      <c r="G20" s="4">
        <v>1076.6500000000001</v>
      </c>
      <c r="H20" s="4">
        <v>237.57</v>
      </c>
      <c r="I20" s="4">
        <v>814.32</v>
      </c>
      <c r="J20" s="4">
        <v>54.37</v>
      </c>
      <c r="K20" s="4">
        <v>656.51</v>
      </c>
      <c r="L20" s="4">
        <v>824.75</v>
      </c>
      <c r="M20" s="4">
        <v>88.36</v>
      </c>
      <c r="N20" s="4">
        <v>407.43</v>
      </c>
      <c r="O20" s="4">
        <v>5197.07</v>
      </c>
      <c r="T20" s="4">
        <v>3784.35</v>
      </c>
    </row>
    <row r="21" spans="1:21" x14ac:dyDescent="0.25">
      <c r="A21" s="11">
        <v>2007</v>
      </c>
      <c r="B21" s="4">
        <v>398.5</v>
      </c>
      <c r="C21" s="4">
        <v>8.6300000000000008</v>
      </c>
      <c r="D21" s="4">
        <v>183.29</v>
      </c>
      <c r="E21" s="4">
        <v>565.27</v>
      </c>
      <c r="F21" s="4">
        <v>0.3</v>
      </c>
      <c r="G21" s="4">
        <v>408.79</v>
      </c>
      <c r="H21" s="4">
        <v>703.51</v>
      </c>
      <c r="I21" s="4">
        <v>704.39</v>
      </c>
      <c r="J21" s="4">
        <v>25.12</v>
      </c>
      <c r="K21" s="4">
        <v>222.53</v>
      </c>
      <c r="L21" s="4">
        <v>136.91999999999999</v>
      </c>
      <c r="M21" s="4">
        <v>31.49</v>
      </c>
      <c r="N21" s="4">
        <v>404.63</v>
      </c>
      <c r="O21" s="4">
        <v>3793.37</v>
      </c>
      <c r="T21" s="4">
        <v>3734.03</v>
      </c>
    </row>
    <row r="22" spans="1:21" x14ac:dyDescent="0.25">
      <c r="A22" s="11">
        <v>2008</v>
      </c>
      <c r="B22" s="4">
        <v>75.489999999999995</v>
      </c>
      <c r="C22" s="4">
        <v>0</v>
      </c>
      <c r="D22" s="4">
        <v>115.27</v>
      </c>
      <c r="E22" s="4">
        <v>782.12</v>
      </c>
      <c r="F22" s="4">
        <v>60.02</v>
      </c>
      <c r="G22" s="4">
        <v>37.57</v>
      </c>
      <c r="H22" s="4">
        <v>851.48</v>
      </c>
      <c r="I22" s="4">
        <v>866.44</v>
      </c>
      <c r="J22" s="4">
        <v>0</v>
      </c>
      <c r="K22" s="4">
        <v>262.74</v>
      </c>
      <c r="L22" s="4">
        <v>556.46</v>
      </c>
      <c r="M22" s="4">
        <v>42.16</v>
      </c>
      <c r="N22" s="4">
        <v>84.28</v>
      </c>
      <c r="O22" s="4">
        <v>3734.03</v>
      </c>
      <c r="T22" s="4">
        <v>3138.89</v>
      </c>
    </row>
    <row r="23" spans="1:21" x14ac:dyDescent="0.25">
      <c r="A23" s="11">
        <v>2009</v>
      </c>
      <c r="B23" s="4">
        <v>29.56</v>
      </c>
      <c r="C23" s="4">
        <v>0</v>
      </c>
      <c r="D23" s="4">
        <v>143.06</v>
      </c>
      <c r="E23" s="4">
        <v>704.14</v>
      </c>
      <c r="F23" s="4">
        <v>157.32</v>
      </c>
      <c r="G23" s="4">
        <v>951.76</v>
      </c>
      <c r="H23" s="4">
        <v>530.9</v>
      </c>
      <c r="I23" s="4">
        <v>367.97</v>
      </c>
      <c r="J23" s="4">
        <v>0</v>
      </c>
      <c r="K23" s="4">
        <v>233.39</v>
      </c>
      <c r="L23" s="4">
        <v>330.98</v>
      </c>
      <c r="M23" s="4">
        <v>345.36</v>
      </c>
      <c r="N23" s="4">
        <v>7.89</v>
      </c>
      <c r="O23" s="4">
        <v>3802.33</v>
      </c>
      <c r="T23" s="4">
        <v>3052.91</v>
      </c>
    </row>
    <row r="24" spans="1:21" x14ac:dyDescent="0.25">
      <c r="A24" s="11">
        <v>2010</v>
      </c>
      <c r="B24" s="4">
        <v>81.599999999999994</v>
      </c>
      <c r="C24" s="4">
        <v>0</v>
      </c>
      <c r="D24" s="4">
        <v>437.16</v>
      </c>
      <c r="E24" s="4">
        <v>474.2</v>
      </c>
      <c r="F24" s="4">
        <v>128.66999999999999</v>
      </c>
      <c r="G24" s="4">
        <v>1023.46</v>
      </c>
      <c r="H24" s="4">
        <v>249.29</v>
      </c>
      <c r="I24" s="4">
        <v>7.7</v>
      </c>
      <c r="J24" s="4">
        <v>0</v>
      </c>
      <c r="K24" s="4">
        <v>96.65</v>
      </c>
      <c r="L24" s="4">
        <v>328.05</v>
      </c>
      <c r="M24" s="4">
        <v>181.8</v>
      </c>
      <c r="N24" s="4">
        <v>44.33</v>
      </c>
      <c r="O24" s="4">
        <v>3052.91</v>
      </c>
      <c r="T24" s="4">
        <v>2890.45</v>
      </c>
    </row>
    <row r="25" spans="1:21" x14ac:dyDescent="0.25">
      <c r="A25" s="11">
        <v>2011</v>
      </c>
      <c r="B25" s="4">
        <v>77.930000000000007</v>
      </c>
      <c r="C25" s="4">
        <v>0</v>
      </c>
      <c r="D25" s="4">
        <v>101.38</v>
      </c>
      <c r="E25" s="4">
        <v>219.65</v>
      </c>
      <c r="F25" s="4">
        <v>0.62</v>
      </c>
      <c r="G25" s="4">
        <v>432.63</v>
      </c>
      <c r="H25" s="4">
        <v>0</v>
      </c>
      <c r="I25" s="4">
        <v>244.35</v>
      </c>
      <c r="J25" s="4">
        <v>0</v>
      </c>
      <c r="K25" s="4">
        <v>194.11</v>
      </c>
      <c r="L25" s="4">
        <v>288.52999999999997</v>
      </c>
      <c r="M25" s="4">
        <v>165.3</v>
      </c>
      <c r="N25" s="4">
        <v>0.01</v>
      </c>
      <c r="O25" s="4">
        <v>1724.51</v>
      </c>
      <c r="T25" s="3">
        <v>2471.31</v>
      </c>
    </row>
    <row r="26" spans="1:21" x14ac:dyDescent="0.25">
      <c r="A26" s="11">
        <v>2012</v>
      </c>
      <c r="B26" s="4">
        <v>213.82</v>
      </c>
      <c r="C26" s="4">
        <v>0</v>
      </c>
      <c r="D26" s="4">
        <v>95.35</v>
      </c>
      <c r="E26" s="4">
        <v>149.52000000000001</v>
      </c>
      <c r="F26" s="4">
        <v>48.83</v>
      </c>
      <c r="G26" s="4">
        <v>316.83</v>
      </c>
      <c r="H26" s="4">
        <v>0</v>
      </c>
      <c r="I26" s="4">
        <v>75.33</v>
      </c>
      <c r="J26" s="4">
        <v>0</v>
      </c>
      <c r="K26" s="4">
        <v>20.09</v>
      </c>
      <c r="L26" s="4">
        <v>0</v>
      </c>
      <c r="M26" s="4">
        <v>130.63999999999999</v>
      </c>
      <c r="N26" s="4">
        <v>0</v>
      </c>
      <c r="O26" s="4">
        <v>1050.4100000000001</v>
      </c>
      <c r="T26" s="4">
        <v>1724.51</v>
      </c>
    </row>
    <row r="27" spans="1:21" x14ac:dyDescent="0.25">
      <c r="A27" s="11">
        <v>2013</v>
      </c>
      <c r="B27" s="4">
        <v>631.14</v>
      </c>
      <c r="C27" s="4">
        <v>4.5999999999999996</v>
      </c>
      <c r="D27" s="4">
        <v>218.81</v>
      </c>
      <c r="E27" s="4">
        <v>403.8</v>
      </c>
      <c r="F27" s="4">
        <v>0</v>
      </c>
      <c r="G27" s="4">
        <v>514.24</v>
      </c>
      <c r="H27" s="4">
        <v>31.48</v>
      </c>
      <c r="I27" s="4">
        <v>255.14</v>
      </c>
      <c r="J27" s="4">
        <v>4.8499999999999996</v>
      </c>
      <c r="K27" s="4">
        <v>184.96</v>
      </c>
      <c r="L27" s="4">
        <v>288.29000000000002</v>
      </c>
      <c r="M27" s="4">
        <v>159.11000000000001</v>
      </c>
      <c r="N27" s="4">
        <v>194.03</v>
      </c>
      <c r="O27" s="4">
        <v>2890.45</v>
      </c>
      <c r="S27" t="s">
        <v>6</v>
      </c>
      <c r="T27" s="4">
        <v>1316.68</v>
      </c>
      <c r="U27">
        <v>12</v>
      </c>
    </row>
    <row r="28" spans="1:21" x14ac:dyDescent="0.25">
      <c r="A28" s="11">
        <v>2014</v>
      </c>
      <c r="B28" s="4">
        <v>54.03</v>
      </c>
      <c r="C28" s="4">
        <v>0</v>
      </c>
      <c r="D28" s="4">
        <v>81.58</v>
      </c>
      <c r="E28" s="4">
        <v>33.97</v>
      </c>
      <c r="F28" s="4">
        <v>29.46</v>
      </c>
      <c r="G28" s="4">
        <v>134.59</v>
      </c>
      <c r="H28" s="4">
        <v>53.67</v>
      </c>
      <c r="I28" s="4">
        <v>20.63</v>
      </c>
      <c r="J28" s="4">
        <v>70.81</v>
      </c>
      <c r="K28" s="4">
        <v>0</v>
      </c>
      <c r="L28" s="4">
        <v>29.67</v>
      </c>
      <c r="M28" s="4">
        <v>40.5</v>
      </c>
      <c r="N28" s="4">
        <v>25.89</v>
      </c>
      <c r="O28" s="4">
        <v>574.79999999999995</v>
      </c>
      <c r="T28" s="4">
        <v>1050.4100000000001</v>
      </c>
      <c r="U28">
        <v>11</v>
      </c>
    </row>
    <row r="29" spans="1:21" x14ac:dyDescent="0.25">
      <c r="A29" s="11">
        <v>2015</v>
      </c>
      <c r="B29" s="4">
        <v>163.55000000000001</v>
      </c>
      <c r="C29" s="4">
        <v>0</v>
      </c>
      <c r="D29" s="4">
        <v>56.61</v>
      </c>
      <c r="E29" s="4">
        <v>11.98</v>
      </c>
      <c r="F29" s="4">
        <v>14.31</v>
      </c>
      <c r="G29" s="4">
        <v>163.26</v>
      </c>
      <c r="H29" s="4">
        <v>32.89</v>
      </c>
      <c r="I29" s="4">
        <v>49.61</v>
      </c>
      <c r="J29" s="4">
        <v>7.74</v>
      </c>
      <c r="K29" s="4">
        <v>0.01</v>
      </c>
      <c r="L29" s="4">
        <v>25.21</v>
      </c>
      <c r="M29" s="4">
        <v>29.26</v>
      </c>
      <c r="N29" s="4">
        <v>73.34</v>
      </c>
      <c r="O29" s="4">
        <v>627.77</v>
      </c>
      <c r="T29" s="4">
        <v>975.47</v>
      </c>
      <c r="U29">
        <v>10</v>
      </c>
    </row>
    <row r="30" spans="1:21" x14ac:dyDescent="0.25">
      <c r="A30" s="11">
        <v>2016</v>
      </c>
      <c r="B30" s="4">
        <v>231.96</v>
      </c>
      <c r="C30" s="4">
        <v>0</v>
      </c>
      <c r="D30" s="4">
        <v>37.159999999999997</v>
      </c>
      <c r="E30" s="4">
        <v>85.96</v>
      </c>
      <c r="F30" s="4">
        <v>0.01</v>
      </c>
      <c r="G30" s="4">
        <v>220.13</v>
      </c>
      <c r="H30" s="4">
        <v>89.25</v>
      </c>
      <c r="I30" s="4">
        <v>150.83000000000001</v>
      </c>
      <c r="J30" s="4">
        <v>19.23</v>
      </c>
      <c r="K30" s="4">
        <v>28.69</v>
      </c>
      <c r="L30" s="4">
        <v>4.41</v>
      </c>
      <c r="M30" s="4">
        <v>29.59</v>
      </c>
      <c r="N30" s="4">
        <v>27.6</v>
      </c>
      <c r="O30" s="4">
        <v>924.82</v>
      </c>
      <c r="T30" s="4">
        <v>924.82</v>
      </c>
      <c r="U30">
        <v>9</v>
      </c>
    </row>
    <row r="31" spans="1:21" x14ac:dyDescent="0.25">
      <c r="A31" s="11">
        <v>2017</v>
      </c>
      <c r="B31" s="4">
        <v>335.63</v>
      </c>
      <c r="C31" s="4">
        <v>0</v>
      </c>
      <c r="D31" s="4">
        <v>0.01</v>
      </c>
      <c r="E31" s="4">
        <v>29.75</v>
      </c>
      <c r="F31" s="4">
        <v>0</v>
      </c>
      <c r="G31" s="4">
        <v>224.68</v>
      </c>
      <c r="H31" s="4">
        <v>0.2</v>
      </c>
      <c r="I31" s="4">
        <v>67.52</v>
      </c>
      <c r="J31" s="4">
        <v>0.04</v>
      </c>
      <c r="K31" s="4">
        <v>0.05</v>
      </c>
      <c r="L31" s="4">
        <v>5.28</v>
      </c>
      <c r="M31" s="4">
        <v>0</v>
      </c>
      <c r="N31" s="4">
        <v>10.93</v>
      </c>
      <c r="O31" s="4">
        <v>674.09</v>
      </c>
      <c r="T31" s="4">
        <v>866.48</v>
      </c>
      <c r="U31">
        <v>8</v>
      </c>
    </row>
    <row r="32" spans="1:21" x14ac:dyDescent="0.25">
      <c r="A32" s="11">
        <v>2018</v>
      </c>
      <c r="B32" s="4">
        <v>361.44</v>
      </c>
      <c r="C32" s="4">
        <v>0.01</v>
      </c>
      <c r="D32" s="4">
        <v>16.940000000000001</v>
      </c>
      <c r="E32" s="4">
        <v>44.58</v>
      </c>
      <c r="F32" s="4">
        <v>0</v>
      </c>
      <c r="G32" s="4">
        <v>160.71</v>
      </c>
      <c r="H32" s="4">
        <v>0.1</v>
      </c>
      <c r="I32" s="4">
        <v>55.57</v>
      </c>
      <c r="J32" s="4">
        <v>14.39</v>
      </c>
      <c r="K32" s="4">
        <v>33.94</v>
      </c>
      <c r="L32" s="4">
        <v>40.590000000000003</v>
      </c>
      <c r="M32" s="4">
        <v>14.41</v>
      </c>
      <c r="N32" s="4">
        <v>88.48</v>
      </c>
      <c r="O32" s="4">
        <v>831.16</v>
      </c>
      <c r="T32" s="4">
        <v>831.16</v>
      </c>
      <c r="U32">
        <v>7</v>
      </c>
    </row>
    <row r="33" spans="1:21" x14ac:dyDescent="0.25">
      <c r="A33" s="11">
        <v>2019</v>
      </c>
      <c r="B33" s="4">
        <v>95.14</v>
      </c>
      <c r="C33" s="4">
        <v>0.15</v>
      </c>
      <c r="D33" s="4">
        <v>21.36</v>
      </c>
      <c r="E33" s="4">
        <v>16.829999999999998</v>
      </c>
      <c r="F33" s="4">
        <v>0.74</v>
      </c>
      <c r="G33" s="4">
        <v>90.59</v>
      </c>
      <c r="H33" s="4">
        <v>1.45</v>
      </c>
      <c r="I33" s="4">
        <v>64</v>
      </c>
      <c r="J33" s="4">
        <v>1.03</v>
      </c>
      <c r="K33" s="4">
        <v>13.2</v>
      </c>
      <c r="L33" s="4">
        <v>0.03</v>
      </c>
      <c r="M33" s="4">
        <v>0</v>
      </c>
      <c r="N33" s="4">
        <v>9.57</v>
      </c>
      <c r="O33" s="4">
        <v>314.08999999999997</v>
      </c>
      <c r="T33" s="4">
        <v>674.09</v>
      </c>
      <c r="U33">
        <v>6</v>
      </c>
    </row>
    <row r="34" spans="1:21" x14ac:dyDescent="0.25">
      <c r="A34" s="11">
        <v>2020</v>
      </c>
      <c r="B34" s="4">
        <v>276.18</v>
      </c>
      <c r="C34" s="4">
        <v>0</v>
      </c>
      <c r="D34" s="4">
        <v>6.64</v>
      </c>
      <c r="E34" s="4">
        <v>25.38</v>
      </c>
      <c r="F34" s="4">
        <v>0.02</v>
      </c>
      <c r="G34" s="4">
        <v>111.77</v>
      </c>
      <c r="H34" s="4">
        <v>0.09</v>
      </c>
      <c r="I34" s="4">
        <v>127.51</v>
      </c>
      <c r="J34" s="4">
        <v>1.82</v>
      </c>
      <c r="K34" s="4">
        <v>48.51</v>
      </c>
      <c r="L34" s="4">
        <v>15.68</v>
      </c>
      <c r="M34" s="4">
        <v>3.2</v>
      </c>
      <c r="N34" s="4">
        <v>15.8</v>
      </c>
      <c r="O34" s="4">
        <v>632.6</v>
      </c>
      <c r="T34" s="4">
        <v>658.93</v>
      </c>
      <c r="U34">
        <v>5</v>
      </c>
    </row>
    <row r="35" spans="1:21" x14ac:dyDescent="0.25">
      <c r="A35" s="11">
        <v>2021</v>
      </c>
      <c r="B35" s="4">
        <v>241.72</v>
      </c>
      <c r="C35" s="4">
        <v>0</v>
      </c>
      <c r="D35" s="4">
        <v>3.85</v>
      </c>
      <c r="E35" s="4">
        <v>35.380000000000003</v>
      </c>
      <c r="F35" s="4">
        <v>0</v>
      </c>
      <c r="G35" s="4">
        <v>74.290000000000006</v>
      </c>
      <c r="H35" s="4">
        <v>12.25</v>
      </c>
      <c r="I35" s="4">
        <v>98.06</v>
      </c>
      <c r="J35" s="4">
        <v>25.85</v>
      </c>
      <c r="K35" s="4">
        <v>32.08</v>
      </c>
      <c r="L35" s="4">
        <v>0</v>
      </c>
      <c r="M35" s="4">
        <v>10.97</v>
      </c>
      <c r="N35" s="4">
        <v>124.48</v>
      </c>
      <c r="O35" s="4">
        <v>658.93</v>
      </c>
      <c r="T35" s="4">
        <v>632.6</v>
      </c>
      <c r="U35">
        <v>4</v>
      </c>
    </row>
    <row r="36" spans="1:21" x14ac:dyDescent="0.25">
      <c r="A36" s="11">
        <v>2022</v>
      </c>
      <c r="B36" s="4">
        <v>458.14</v>
      </c>
      <c r="C36" s="4">
        <v>0.01</v>
      </c>
      <c r="D36" s="4">
        <v>0.4</v>
      </c>
      <c r="E36" s="4">
        <v>38.18</v>
      </c>
      <c r="F36" s="4">
        <v>0</v>
      </c>
      <c r="G36" s="4">
        <v>7.92</v>
      </c>
      <c r="H36" s="4">
        <v>0.31</v>
      </c>
      <c r="I36" s="4">
        <v>196.5</v>
      </c>
      <c r="J36" s="4">
        <v>11.81</v>
      </c>
      <c r="K36" s="4">
        <v>45.17</v>
      </c>
      <c r="L36" s="4">
        <v>89</v>
      </c>
      <c r="M36" s="4">
        <v>0.18</v>
      </c>
      <c r="N36" s="4">
        <v>127.85</v>
      </c>
      <c r="O36" s="4">
        <v>975.47</v>
      </c>
      <c r="T36" s="4">
        <v>627.77</v>
      </c>
      <c r="U36">
        <v>3</v>
      </c>
    </row>
    <row r="37" spans="1:21" x14ac:dyDescent="0.25">
      <c r="A37" s="11">
        <v>2023</v>
      </c>
      <c r="B37" s="4">
        <v>224.06</v>
      </c>
      <c r="C37" s="4">
        <v>0</v>
      </c>
      <c r="D37" s="4">
        <v>50.15</v>
      </c>
      <c r="E37" s="4">
        <v>47.36</v>
      </c>
      <c r="F37" s="4">
        <v>0</v>
      </c>
      <c r="G37" s="4">
        <v>31.36</v>
      </c>
      <c r="H37" s="4">
        <v>0.37</v>
      </c>
      <c r="I37" s="4">
        <v>125.08</v>
      </c>
      <c r="J37" s="4">
        <v>5.83</v>
      </c>
      <c r="K37" s="4">
        <v>4.6500000000000004</v>
      </c>
      <c r="L37" s="4">
        <v>0.17</v>
      </c>
      <c r="M37" s="4">
        <v>0.14000000000000001</v>
      </c>
      <c r="N37" s="4">
        <v>377.31</v>
      </c>
      <c r="O37" s="4">
        <v>866.48</v>
      </c>
      <c r="T37" s="4">
        <v>574.79999999999995</v>
      </c>
      <c r="U37">
        <v>2</v>
      </c>
    </row>
    <row r="38" spans="1:21" ht="15.75" thickBot="1" x14ac:dyDescent="0.3">
      <c r="A38" s="12">
        <v>2024</v>
      </c>
      <c r="B38" s="5">
        <v>601.27</v>
      </c>
      <c r="C38" s="5">
        <v>0.01</v>
      </c>
      <c r="D38" s="5">
        <v>56.23</v>
      </c>
      <c r="E38" s="5">
        <v>63.34</v>
      </c>
      <c r="F38" s="5">
        <v>0</v>
      </c>
      <c r="G38" s="5">
        <v>152.22</v>
      </c>
      <c r="H38" s="5">
        <v>1</v>
      </c>
      <c r="I38" s="5">
        <v>111.46</v>
      </c>
      <c r="J38" s="5">
        <v>0.52</v>
      </c>
      <c r="K38" s="5">
        <v>151.41</v>
      </c>
      <c r="L38" s="5">
        <v>13.62</v>
      </c>
      <c r="M38" s="5">
        <v>9.8000000000000007</v>
      </c>
      <c r="N38" s="5">
        <v>212.02</v>
      </c>
      <c r="O38" s="5">
        <f>SUM(B38:N38)</f>
        <v>1372.8999999999999</v>
      </c>
      <c r="T38" s="5">
        <v>314.08999999999997</v>
      </c>
      <c r="U38">
        <v>1</v>
      </c>
    </row>
    <row r="39" spans="1:21" ht="30" x14ac:dyDescent="0.25">
      <c r="A39" s="6" t="s">
        <v>2</v>
      </c>
      <c r="B39" s="7">
        <f>AVERAGE(B2:B38)</f>
        <v>392.83702702702698</v>
      </c>
      <c r="C39" s="7">
        <f t="shared" ref="C39:O39" si="0">AVERAGE(C2:C38)</f>
        <v>329.34810810810808</v>
      </c>
      <c r="D39" s="7">
        <f t="shared" si="0"/>
        <v>195.33378378378376</v>
      </c>
      <c r="E39" s="7">
        <f t="shared" si="0"/>
        <v>393.21000000000004</v>
      </c>
      <c r="F39" s="7">
        <f t="shared" si="0"/>
        <v>78.555405405405423</v>
      </c>
      <c r="G39" s="7">
        <f t="shared" si="0"/>
        <v>655.55729729729751</v>
      </c>
      <c r="H39" s="7">
        <f t="shared" si="0"/>
        <v>455.46088235294121</v>
      </c>
      <c r="I39" s="7">
        <f t="shared" si="0"/>
        <v>465.91558823529408</v>
      </c>
      <c r="J39" s="7">
        <f t="shared" si="0"/>
        <v>24.676818181818181</v>
      </c>
      <c r="K39" s="7">
        <f t="shared" si="0"/>
        <v>122.96000000000004</v>
      </c>
      <c r="L39" s="7">
        <f t="shared" si="0"/>
        <v>195.8</v>
      </c>
      <c r="M39" s="7">
        <f t="shared" si="0"/>
        <v>123.01636363636364</v>
      </c>
      <c r="N39" s="7">
        <f t="shared" si="0"/>
        <v>169.15727272727275</v>
      </c>
      <c r="O39" s="7">
        <f t="shared" si="0"/>
        <v>3269.4424324324323</v>
      </c>
    </row>
    <row r="40" spans="1:21" ht="30.75" thickBot="1" x14ac:dyDescent="0.3">
      <c r="A40" s="8" t="s">
        <v>3</v>
      </c>
      <c r="B40" s="9">
        <f>AVERAGE(B36:B38)</f>
        <v>427.82333333333332</v>
      </c>
      <c r="C40" s="9">
        <f t="shared" ref="C40:O40" si="1">AVERAGE(C36:C38)</f>
        <v>6.6666666666666671E-3</v>
      </c>
      <c r="D40" s="9">
        <f t="shared" si="1"/>
        <v>35.593333333333334</v>
      </c>
      <c r="E40" s="9">
        <f t="shared" si="1"/>
        <v>49.626666666666665</v>
      </c>
      <c r="F40" s="9">
        <f t="shared" si="1"/>
        <v>0</v>
      </c>
      <c r="G40" s="9">
        <f t="shared" si="1"/>
        <v>63.833333333333336</v>
      </c>
      <c r="H40" s="9">
        <f t="shared" si="1"/>
        <v>0.55999999999999994</v>
      </c>
      <c r="I40" s="9">
        <f t="shared" si="1"/>
        <v>144.34666666666666</v>
      </c>
      <c r="J40" s="9">
        <f t="shared" si="1"/>
        <v>6.0533333333333337</v>
      </c>
      <c r="K40" s="9">
        <f t="shared" si="1"/>
        <v>67.076666666666668</v>
      </c>
      <c r="L40" s="9">
        <f t="shared" si="1"/>
        <v>34.263333333333335</v>
      </c>
      <c r="M40" s="9">
        <f t="shared" si="1"/>
        <v>3.3733333333333335</v>
      </c>
      <c r="N40" s="9">
        <f t="shared" si="1"/>
        <v>239.05999999999997</v>
      </c>
      <c r="O40" s="9">
        <f t="shared" si="1"/>
        <v>1071.6166666666666</v>
      </c>
    </row>
    <row r="43" spans="1:21" ht="15.75" thickBot="1" x14ac:dyDescent="0.3"/>
    <row r="44" spans="1:21" ht="15.75" thickBot="1" x14ac:dyDescent="0.3">
      <c r="A44" s="13" t="s">
        <v>4</v>
      </c>
      <c r="B44" s="2">
        <v>1</v>
      </c>
      <c r="C44" s="2">
        <v>2</v>
      </c>
      <c r="D44" s="2" t="s">
        <v>0</v>
      </c>
      <c r="E44" s="2">
        <v>4</v>
      </c>
      <c r="F44" s="2">
        <v>5</v>
      </c>
      <c r="G44" s="2">
        <v>6</v>
      </c>
      <c r="H44" s="2">
        <v>7</v>
      </c>
      <c r="I44" s="2">
        <v>8</v>
      </c>
      <c r="J44" s="2">
        <v>9</v>
      </c>
      <c r="K44" s="16">
        <v>10</v>
      </c>
      <c r="L44" s="16">
        <v>11</v>
      </c>
      <c r="M44" s="16">
        <v>12</v>
      </c>
      <c r="N44" s="16">
        <v>13</v>
      </c>
      <c r="O44" s="2" t="s">
        <v>1</v>
      </c>
    </row>
    <row r="45" spans="1:21" x14ac:dyDescent="0.25">
      <c r="A45" t="s">
        <v>7</v>
      </c>
      <c r="B45" s="15">
        <f t="shared" ref="B45:N45" si="2">B38/$O38</f>
        <v>0.43795615121276132</v>
      </c>
      <c r="C45" s="15">
        <f t="shared" si="2"/>
        <v>7.2838517007793732E-6</v>
      </c>
      <c r="D45" s="15">
        <f t="shared" si="2"/>
        <v>4.0957098113482408E-2</v>
      </c>
      <c r="E45" s="15">
        <f t="shared" si="2"/>
        <v>4.6135916672736553E-2</v>
      </c>
      <c r="F45" s="15">
        <f t="shared" si="2"/>
        <v>0</v>
      </c>
      <c r="G45" s="15">
        <f t="shared" si="2"/>
        <v>0.11087479058926361</v>
      </c>
      <c r="H45" s="15">
        <f t="shared" si="2"/>
        <v>7.2838517007793732E-4</v>
      </c>
      <c r="I45" s="15">
        <f t="shared" si="2"/>
        <v>8.1185811056886881E-2</v>
      </c>
      <c r="J45" s="15">
        <f t="shared" si="2"/>
        <v>3.7876028844052739E-4</v>
      </c>
      <c r="K45" s="17">
        <f t="shared" si="2"/>
        <v>0.11028479860150048</v>
      </c>
      <c r="L45" s="17">
        <f t="shared" si="2"/>
        <v>9.920606016461506E-3</v>
      </c>
      <c r="M45" s="17">
        <f t="shared" si="2"/>
        <v>7.1381746667637863E-3</v>
      </c>
      <c r="N45" s="17">
        <f t="shared" si="2"/>
        <v>0.15443222375992427</v>
      </c>
      <c r="O45" s="14">
        <f>SUM(B45:N45)</f>
        <v>1</v>
      </c>
    </row>
    <row r="47" spans="1:21" x14ac:dyDescent="0.25">
      <c r="N47" s="18">
        <f>SUM(K38:N38)</f>
        <v>386.85</v>
      </c>
    </row>
    <row r="48" spans="1:21" x14ac:dyDescent="0.25">
      <c r="N48" s="19">
        <f>K45+L45+M45+N45</f>
        <v>0.28177580304465005</v>
      </c>
    </row>
  </sheetData>
  <sortState xmlns:xlrd2="http://schemas.microsoft.com/office/spreadsheetml/2017/richdata2" ref="T3:T38">
    <sortCondition descending="1" ref="T2:T38"/>
  </sortState>
  <pageMargins left="0.7" right="0.7" top="0.75" bottom="0.75" header="0.3" footer="0.3"/>
  <ignoredErrors>
    <ignoredError sqref="O38 B39:O4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52C-2B6F-4DEA-B9D8-8DD1BA86783C}">
  <dimension ref="A1:B38"/>
  <sheetViews>
    <sheetView topLeftCell="A4" workbookViewId="0">
      <selection activeCell="B39" sqref="B39"/>
    </sheetView>
  </sheetViews>
  <sheetFormatPr defaultRowHeight="15" x14ac:dyDescent="0.25"/>
  <sheetData>
    <row r="1" spans="1:2" x14ac:dyDescent="0.25">
      <c r="A1">
        <v>1988</v>
      </c>
      <c r="B1">
        <v>12</v>
      </c>
    </row>
    <row r="2" spans="1:2" x14ac:dyDescent="0.25">
      <c r="A2">
        <v>1989</v>
      </c>
      <c r="B2">
        <v>12</v>
      </c>
    </row>
    <row r="3" spans="1:2" x14ac:dyDescent="0.25">
      <c r="A3">
        <v>1990</v>
      </c>
      <c r="B3">
        <v>12</v>
      </c>
    </row>
    <row r="4" spans="1:2" x14ac:dyDescent="0.25">
      <c r="A4">
        <v>1991</v>
      </c>
      <c r="B4">
        <v>12</v>
      </c>
    </row>
    <row r="5" spans="1:2" x14ac:dyDescent="0.25">
      <c r="A5">
        <v>1992</v>
      </c>
      <c r="B5">
        <v>12</v>
      </c>
    </row>
    <row r="6" spans="1:2" x14ac:dyDescent="0.25">
      <c r="A6">
        <v>1993</v>
      </c>
      <c r="B6">
        <v>12</v>
      </c>
    </row>
    <row r="7" spans="1:2" x14ac:dyDescent="0.25">
      <c r="A7">
        <v>1994</v>
      </c>
      <c r="B7">
        <v>12</v>
      </c>
    </row>
    <row r="8" spans="1:2" x14ac:dyDescent="0.25">
      <c r="A8">
        <v>1995</v>
      </c>
      <c r="B8">
        <v>12</v>
      </c>
    </row>
    <row r="9" spans="1:2" x14ac:dyDescent="0.25">
      <c r="A9">
        <v>1996</v>
      </c>
      <c r="B9">
        <v>12</v>
      </c>
    </row>
    <row r="10" spans="1:2" x14ac:dyDescent="0.25">
      <c r="A10">
        <v>1997</v>
      </c>
      <c r="B10">
        <v>12</v>
      </c>
    </row>
    <row r="11" spans="1:2" x14ac:dyDescent="0.25">
      <c r="A11">
        <v>1998</v>
      </c>
      <c r="B11">
        <v>12</v>
      </c>
    </row>
    <row r="12" spans="1:2" x14ac:dyDescent="0.25">
      <c r="A12">
        <v>1999</v>
      </c>
      <c r="B12">
        <v>12</v>
      </c>
    </row>
    <row r="13" spans="1:2" x14ac:dyDescent="0.25">
      <c r="A13">
        <v>2000</v>
      </c>
      <c r="B13">
        <v>12</v>
      </c>
    </row>
    <row r="14" spans="1:2" x14ac:dyDescent="0.25">
      <c r="A14">
        <v>2001</v>
      </c>
      <c r="B14">
        <v>12</v>
      </c>
    </row>
    <row r="15" spans="1:2" x14ac:dyDescent="0.25">
      <c r="A15">
        <v>2002</v>
      </c>
      <c r="B15">
        <v>12</v>
      </c>
    </row>
    <row r="16" spans="1:2" x14ac:dyDescent="0.25">
      <c r="A16">
        <v>2003</v>
      </c>
      <c r="B16">
        <v>12</v>
      </c>
    </row>
    <row r="17" spans="1:2" x14ac:dyDescent="0.25">
      <c r="A17">
        <v>2004</v>
      </c>
      <c r="B17">
        <v>12</v>
      </c>
    </row>
    <row r="18" spans="1:2" x14ac:dyDescent="0.25">
      <c r="A18">
        <v>2005</v>
      </c>
      <c r="B18">
        <v>12</v>
      </c>
    </row>
    <row r="19" spans="1:2" x14ac:dyDescent="0.25">
      <c r="A19">
        <v>2006</v>
      </c>
      <c r="B19">
        <v>12</v>
      </c>
    </row>
    <row r="20" spans="1:2" x14ac:dyDescent="0.25">
      <c r="A20">
        <v>2007</v>
      </c>
      <c r="B20">
        <v>12</v>
      </c>
    </row>
    <row r="21" spans="1:2" x14ac:dyDescent="0.25">
      <c r="A21">
        <v>2008</v>
      </c>
      <c r="B21">
        <v>12</v>
      </c>
    </row>
    <row r="22" spans="1:2" x14ac:dyDescent="0.25">
      <c r="A22">
        <v>2009</v>
      </c>
      <c r="B22">
        <v>12</v>
      </c>
    </row>
    <row r="23" spans="1:2" x14ac:dyDescent="0.25">
      <c r="A23">
        <v>2010</v>
      </c>
      <c r="B23">
        <v>12</v>
      </c>
    </row>
    <row r="24" spans="1:2" x14ac:dyDescent="0.25">
      <c r="A24">
        <v>2011</v>
      </c>
      <c r="B24">
        <v>12</v>
      </c>
    </row>
    <row r="25" spans="1:2" x14ac:dyDescent="0.25">
      <c r="A25">
        <v>2012</v>
      </c>
      <c r="B25">
        <v>12</v>
      </c>
    </row>
    <row r="26" spans="1:2" x14ac:dyDescent="0.25">
      <c r="A26">
        <v>2013</v>
      </c>
      <c r="B26">
        <v>12</v>
      </c>
    </row>
    <row r="27" spans="1:2" x14ac:dyDescent="0.25">
      <c r="A27">
        <v>2014</v>
      </c>
      <c r="B27">
        <v>12</v>
      </c>
    </row>
    <row r="28" spans="1:2" x14ac:dyDescent="0.25">
      <c r="A28">
        <v>2015</v>
      </c>
      <c r="B28">
        <v>12</v>
      </c>
    </row>
    <row r="29" spans="1:2" x14ac:dyDescent="0.25">
      <c r="A29">
        <v>2016</v>
      </c>
      <c r="B29">
        <v>12</v>
      </c>
    </row>
    <row r="30" spans="1:2" x14ac:dyDescent="0.25">
      <c r="A30">
        <v>2017</v>
      </c>
      <c r="B30">
        <v>12</v>
      </c>
    </row>
    <row r="31" spans="1:2" x14ac:dyDescent="0.25">
      <c r="A31">
        <v>2018</v>
      </c>
      <c r="B31">
        <v>12</v>
      </c>
    </row>
    <row r="32" spans="1:2" x14ac:dyDescent="0.25">
      <c r="A32">
        <v>2019</v>
      </c>
      <c r="B32">
        <v>12</v>
      </c>
    </row>
    <row r="33" spans="1:2" x14ac:dyDescent="0.25">
      <c r="A33">
        <v>2020</v>
      </c>
      <c r="B33">
        <v>12</v>
      </c>
    </row>
    <row r="34" spans="1:2" x14ac:dyDescent="0.25">
      <c r="A34">
        <v>2021</v>
      </c>
      <c r="B34">
        <v>12</v>
      </c>
    </row>
    <row r="35" spans="1:2" x14ac:dyDescent="0.25">
      <c r="A35">
        <v>2022</v>
      </c>
      <c r="B35">
        <v>12</v>
      </c>
    </row>
    <row r="36" spans="1:2" x14ac:dyDescent="0.25">
      <c r="A36">
        <v>2023</v>
      </c>
      <c r="B36">
        <v>12</v>
      </c>
    </row>
    <row r="37" spans="1:2" x14ac:dyDescent="0.25">
      <c r="A37">
        <v>2024</v>
      </c>
      <c r="B37">
        <v>12</v>
      </c>
    </row>
    <row r="38" spans="1:2" x14ac:dyDescent="0.25">
      <c r="B38">
        <f>SUM(B1:B37)</f>
        <v>444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Table1_data_afy_2024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2025-04-21T16:56:16Z</dcterms:created>
  <dcterms:modified xsi:type="dcterms:W3CDTF">2025-05-08T17:50:20Z</dcterms:modified>
</cp:coreProperties>
</file>