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gov-my.sharepoint.com/personal/brad_wolaver_ose_nm_gov/Documents/Documents/_Projects/RG/City_Santa_Fe/Buckman/Reporting/2024 Depletion Memo/TABLES/"/>
    </mc:Choice>
  </mc:AlternateContent>
  <xr:revisionPtr revIDLastSave="4" documentId="8_{4CD61BEB-B03C-489E-80CF-1423D03F1491}" xr6:coauthVersionLast="47" xr6:coauthVersionMax="47" xr10:uidLastSave="{E7BBE856-04A5-43AE-9139-3F39935763FE}"/>
  <bookViews>
    <workbookView xWindow="28680" yWindow="690" windowWidth="29040" windowHeight="15720" xr2:uid="{2495BB0D-0BF3-4382-B6F6-12A9CBD59A76}"/>
  </bookViews>
  <sheets>
    <sheet name="Table 4 - Rio Grande, Otowi" sheetId="8" r:id="rId1"/>
  </sheets>
  <definedNames>
    <definedName name="_xlnm._FilterDatabase" localSheetId="0" hidden="1">'Table 4 - Rio Grande, Otowi'!$A$1:$R$50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0" i="8" l="1"/>
  <c r="P60" i="8"/>
  <c r="O60" i="8"/>
  <c r="N60" i="8"/>
  <c r="M60" i="8"/>
  <c r="L60" i="8"/>
  <c r="K60" i="8"/>
  <c r="J60" i="8"/>
  <c r="I60" i="8"/>
  <c r="H60" i="8"/>
  <c r="G60" i="8"/>
  <c r="F60" i="8"/>
  <c r="R60" i="8" s="1"/>
  <c r="F53" i="8"/>
  <c r="F56" i="8" s="1"/>
  <c r="O54" i="8" l="1"/>
  <c r="N54" i="8"/>
  <c r="N57" i="8" s="1"/>
  <c r="Q59" i="8"/>
  <c r="I59" i="8"/>
  <c r="M59" i="8"/>
  <c r="H59" i="8"/>
  <c r="K59" i="8"/>
  <c r="G59" i="8"/>
  <c r="L59" i="8"/>
  <c r="O57" i="8" l="1"/>
  <c r="J54" i="8"/>
  <c r="M54" i="8"/>
  <c r="I54" i="8"/>
  <c r="F59" i="8"/>
  <c r="H53" i="8"/>
  <c r="H56" i="8" s="1"/>
  <c r="J53" i="8"/>
  <c r="J56" i="8" s="1"/>
  <c r="J59" i="8" s="1"/>
  <c r="N53" i="8"/>
  <c r="N56" i="8" s="1"/>
  <c r="M53" i="8"/>
  <c r="M56" i="8" s="1"/>
  <c r="K53" i="8"/>
  <c r="K56" i="8" s="1"/>
  <c r="K54" i="8" s="1"/>
  <c r="L53" i="8"/>
  <c r="L56" i="8" s="1"/>
  <c r="G54" i="8"/>
  <c r="Q54" i="8"/>
  <c r="P54" i="8"/>
  <c r="N59" i="8" l="1"/>
  <c r="N58" i="8"/>
  <c r="P57" i="8"/>
  <c r="Q57" i="8"/>
  <c r="G57" i="8"/>
  <c r="K57" i="8"/>
  <c r="K58" i="8" s="1"/>
  <c r="I57" i="8"/>
  <c r="M57" i="8"/>
  <c r="M58" i="8" s="1"/>
  <c r="J57" i="8"/>
  <c r="J58" i="8" s="1"/>
  <c r="P53" i="8"/>
  <c r="P56" i="8"/>
  <c r="P58" i="8" s="1"/>
  <c r="P59" i="8"/>
  <c r="I53" i="8"/>
  <c r="I56" i="8"/>
  <c r="I58" i="8"/>
  <c r="G53" i="8"/>
  <c r="G56" i="8"/>
  <c r="R56" i="8" s="1"/>
  <c r="Q53" i="8"/>
  <c r="Q56" i="8"/>
  <c r="Q58" i="8"/>
  <c r="O53" i="8"/>
  <c r="O56" i="8"/>
  <c r="F54" i="8"/>
  <c r="O58" i="8"/>
  <c r="O59" i="8"/>
  <c r="F57" i="8"/>
  <c r="H54" i="8"/>
  <c r="H57" i="8"/>
  <c r="L54" i="8"/>
  <c r="L57" i="8"/>
  <c r="R57" i="8"/>
  <c r="L58" i="8"/>
  <c r="H58" i="8"/>
  <c r="F58" i="8"/>
  <c r="G58" i="8" l="1"/>
</calcChain>
</file>

<file path=xl/sharedStrings.xml><?xml version="1.0" encoding="utf-8"?>
<sst xmlns="http://schemas.openxmlformats.org/spreadsheetml/2006/main" count="97" uniqueCount="56">
  <si>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</si>
  <si>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</si>
  <si>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</si>
  <si>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</si>
  <si>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</si>
  <si>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</si>
  <si>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</si>
  <si>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</si>
  <si>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</si>
  <si>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</si>
  <si>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</si>
  <si>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</si>
  <si>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LAY</t>
  </si>
  <si>
    <t>ROW</t>
  </si>
  <si>
    <t>COL</t>
  </si>
  <si>
    <t>0  R</t>
  </si>
  <si>
    <t>POJOA</t>
  </si>
  <si>
    <t>QUE</t>
  </si>
  <si>
    <t>0   R</t>
  </si>
  <si>
    <t>TESU</t>
  </si>
  <si>
    <t>0  RI</t>
  </si>
  <si>
    <t>O GRA</t>
  </si>
  <si>
    <t>NDE</t>
  </si>
  <si>
    <t>V  TO</t>
  </si>
  <si>
    <t>TAL</t>
  </si>
  <si>
    <t>0  LC</t>
  </si>
  <si>
    <t>SPRI</t>
  </si>
  <si>
    <t>NGS</t>
  </si>
  <si>
    <t>KEY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</si>
  <si>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</si>
  <si>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</si>
  <si>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</si>
  <si>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</si>
  <si>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</si>
  <si>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</si>
  <si>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</si>
  <si>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</si>
  <si>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</si>
  <si>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</si>
  <si>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</si>
  <si>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</si>
  <si>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</si>
  <si>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Total</t>
  </si>
  <si>
    <t>above</t>
  </si>
  <si>
    <t>Otowi</t>
  </si>
  <si>
    <t>below</t>
  </si>
  <si>
    <t>cfs</t>
  </si>
  <si>
    <t>Rio Grande above Otowi</t>
  </si>
  <si>
    <t>Rio Grande below Otowi</t>
  </si>
  <si>
    <t>Total RG (sum)</t>
  </si>
  <si>
    <t>check</t>
  </si>
  <si>
    <t>Total RG reported</t>
  </si>
  <si>
    <t>Above Otowi</t>
  </si>
  <si>
    <t>Below Otowi</t>
  </si>
  <si>
    <t>3 wells closest to Rio Grande: Buckman 1, 7, 8; Row 13, Column 11</t>
  </si>
  <si>
    <t>3 wells closest to 
Rio Grande:
Buckman 1, 7, 8; Row 13, Column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</si>
</sst>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2" fontId="0" fillId="0" borderId="0" xfId="0" applyNumberFormat="1"/>
    <xf numFmtId="2" fontId="0" fillId="33" borderId="0" xfId="0" applyNumberFormat="1" applyFill="1"/>
    <xf numFmtId="2" fontId="0" fillId="33" borderId="10" xfId="0" applyNumberFormat="1" applyFill="1" applyBorder="1"/>
    <xf numFmtId="0" fontId="16" fillId="33" borderId="11" xfId="0" applyFont="1" applyFill="1" applyBorder="1" applyAlignment="1">
      <alignment horizontal="center"/>
    </xf>
    <xf numFmtId="0" fontId="16" fillId="33" borderId="11" xfId="0" applyFont="1" applyFill="1" applyBorder="1"/>
    <xf numFmtId="0" fontId="0" fillId="34" borderId="0" xfId="0" applyFill="1"/>
    <xf numFmtId="0" fontId="0" fillId="35" borderId="0" xfId="0" applyFill="1"/>
    <xf numFmtId="2" fontId="0" fillId="34" borderId="0" xfId="0" applyNumberFormat="1" applyFill="1"/>
    <xf numFmtId="2" fontId="0" fillId="35" borderId="0" xfId="0" applyNumberFormat="1" applyFill="1"/>
    <xf numFmtId="0" fontId="0" fillId="33" borderId="0" xfId="0" applyFill="1"/>
    <xf numFmtId="0" fontId="0" fillId="0" borderId="0" xfId="0" applyAlignment="1">
      <alignment horizontal="right"/>
    </xf>
    <xf numFmtId="0" fontId="16" fillId="33" borderId="0" xfId="0" applyFont="1" applyFill="1" applyAlignment="1">
      <alignment horizontal="right"/>
    </xf>
    <xf numFmtId="0" fontId="16" fillId="33" borderId="10" xfId="0" applyFont="1" applyFill="1" applyBorder="1" applyAlignment="1">
      <alignment horizontal="right"/>
    </xf>
    <xf numFmtId="2" fontId="16" fillId="33" borderId="0" xfId="0" applyNumberFormat="1" applyFont="1" applyFill="1"/>
    <xf numFmtId="2" fontId="16" fillId="33" borderId="10" xfId="0" applyNumberFormat="1" applyFont="1" applyFill="1" applyBorder="1"/>
    <xf numFmtId="1" fontId="0" fillId="0" borderId="0" xfId="0" applyNumberFormat="1"/>
    <xf numFmtId="0" fontId="14" fillId="35" borderId="0" xfId="0" applyFont="1" applyFill="1"/>
    <xf numFmtId="2" fontId="14" fillId="35" borderId="0" xfId="0" applyNumberFormat="1" applyFont="1" applyFill="1"/>
    <xf numFmtId="0" fontId="0" fillId="0" borderId="0" xfId="0" applyAlignment="1">
      <alignment horizontal="right" wrapText="1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4E3A-072C-4589-B345-BE27C76604ED}">
  <dimension ref="A1:T60"/>
  <sheetViews>
    <sheetView tabSelected="1" topLeftCell="A25" workbookViewId="0">
      <selection activeCell="T16" sqref="T1:T1048576"/>
    </sheetView>
  </sheetViews>
  <sheetFormatPr defaultRowHeight="15" x14ac:dyDescent="0.25"/>
  <cols>
    <col min="5" max="5" width="12" customWidth="1"/>
    <col min="18" max="18" width="11.75" customWidth="1"/>
    <col min="20" max="16384" width="9" style="20"/>
  </cols>
  <sheetData>
    <row r="1" spans="1:19" x14ac:dyDescent="0.25">
      <c r="A1" t="s">
        <v>28</v>
      </c>
      <c r="B1" t="s">
        <v>41</v>
      </c>
      <c r="C1" t="s">
        <v>12</v>
      </c>
      <c r="D1" t="s">
        <v>13</v>
      </c>
      <c r="E1" t="s">
        <v>14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44</v>
      </c>
    </row>
    <row r="2" spans="1:19" x14ac:dyDescent="0.25">
      <c r="A2">
        <v>2089</v>
      </c>
      <c r="B2">
        <v>2024</v>
      </c>
      <c r="C2">
        <v>1</v>
      </c>
      <c r="D2">
        <v>9</v>
      </c>
      <c r="E2">
        <v>14</v>
      </c>
      <c r="F2" s="1">
        <v>2.5736999999999999E-2</v>
      </c>
      <c r="G2" s="1">
        <v>2.5725000000000001E-2</v>
      </c>
      <c r="H2" s="1">
        <v>2.571E-2</v>
      </c>
      <c r="I2" s="1">
        <v>2.5696E-2</v>
      </c>
      <c r="J2" s="1">
        <v>2.5680999999999999E-2</v>
      </c>
      <c r="K2" s="1">
        <v>2.5668E-2</v>
      </c>
      <c r="L2" s="1">
        <v>2.5659999999999999E-2</v>
      </c>
      <c r="M2" s="1">
        <v>2.5659999999999999E-2</v>
      </c>
      <c r="N2" s="1">
        <v>2.5669000000000001E-2</v>
      </c>
      <c r="O2" s="1">
        <v>2.5684999999999999E-2</v>
      </c>
      <c r="P2" s="1">
        <v>2.5704999999999999E-2</v>
      </c>
      <c r="Q2" s="1">
        <v>2.5725999999999999E-2</v>
      </c>
      <c r="S2" s="16"/>
    </row>
    <row r="3" spans="1:19" x14ac:dyDescent="0.25">
      <c r="A3">
        <v>2090</v>
      </c>
      <c r="B3">
        <v>2024</v>
      </c>
      <c r="C3">
        <v>1</v>
      </c>
      <c r="D3">
        <v>9</v>
      </c>
      <c r="E3">
        <v>15</v>
      </c>
      <c r="F3" s="1">
        <v>2.4341999999999999E-2</v>
      </c>
      <c r="G3" s="1">
        <v>2.4346E-2</v>
      </c>
      <c r="H3" s="1">
        <v>2.4348000000000002E-2</v>
      </c>
      <c r="I3" s="1">
        <v>2.4348999999999999E-2</v>
      </c>
      <c r="J3" s="1">
        <v>2.435E-2</v>
      </c>
      <c r="K3" s="1">
        <v>2.4351000000000001E-2</v>
      </c>
      <c r="L3" s="1">
        <v>2.4354000000000001E-2</v>
      </c>
      <c r="M3" s="1">
        <v>2.4362000000000002E-2</v>
      </c>
      <c r="N3" s="1">
        <v>2.4372999999999999E-2</v>
      </c>
      <c r="O3" s="1">
        <v>2.4389999999999998E-2</v>
      </c>
      <c r="P3" s="1">
        <v>2.4409E-2</v>
      </c>
      <c r="Q3" s="1">
        <v>2.4431000000000001E-2</v>
      </c>
      <c r="S3" s="16"/>
    </row>
    <row r="4" spans="1:19" x14ac:dyDescent="0.25">
      <c r="A4">
        <v>2091</v>
      </c>
      <c r="B4">
        <v>2024</v>
      </c>
      <c r="C4">
        <v>1</v>
      </c>
      <c r="D4">
        <v>9</v>
      </c>
      <c r="E4">
        <v>16</v>
      </c>
      <c r="F4" s="1">
        <v>1.3343000000000001E-2</v>
      </c>
      <c r="G4" s="1">
        <v>1.3353E-2</v>
      </c>
      <c r="H4" s="1">
        <v>1.3363E-2</v>
      </c>
      <c r="I4" s="1">
        <v>1.3372E-2</v>
      </c>
      <c r="J4" s="1">
        <v>1.3381000000000001E-2</v>
      </c>
      <c r="K4" s="1">
        <v>1.3390000000000001E-2</v>
      </c>
      <c r="L4" s="1">
        <v>1.34E-2</v>
      </c>
      <c r="M4" s="1">
        <v>1.3410999999999999E-2</v>
      </c>
      <c r="N4" s="1">
        <v>1.3424E-2</v>
      </c>
      <c r="O4" s="1">
        <v>1.3440000000000001E-2</v>
      </c>
      <c r="P4" s="1">
        <v>1.3459E-2</v>
      </c>
      <c r="Q4" s="1">
        <v>1.3479E-2</v>
      </c>
      <c r="S4" s="16"/>
    </row>
    <row r="5" spans="1:19" x14ac:dyDescent="0.25">
      <c r="A5">
        <v>2092</v>
      </c>
      <c r="B5">
        <v>2024</v>
      </c>
      <c r="C5">
        <v>1</v>
      </c>
      <c r="D5">
        <v>9</v>
      </c>
      <c r="E5">
        <v>17</v>
      </c>
      <c r="F5" s="1">
        <v>7.7390000000000002E-3</v>
      </c>
      <c r="G5" s="1">
        <v>7.7489999999999998E-3</v>
      </c>
      <c r="H5" s="1">
        <v>7.7590000000000003E-3</v>
      </c>
      <c r="I5" s="1">
        <v>7.7679999999999997E-3</v>
      </c>
      <c r="J5" s="1">
        <v>7.7780000000000002E-3</v>
      </c>
      <c r="K5" s="1">
        <v>7.7869999999999997E-3</v>
      </c>
      <c r="L5" s="1">
        <v>7.796E-3</v>
      </c>
      <c r="M5" s="1">
        <v>7.8059999999999996E-3</v>
      </c>
      <c r="N5" s="1">
        <v>7.8169999999999993E-3</v>
      </c>
      <c r="O5" s="1">
        <v>7.8289999999999992E-3</v>
      </c>
      <c r="P5" s="1">
        <v>7.8429999999999993E-3</v>
      </c>
      <c r="Q5" s="1">
        <v>7.8580000000000004E-3</v>
      </c>
      <c r="S5" s="16"/>
    </row>
    <row r="6" spans="1:19" x14ac:dyDescent="0.25">
      <c r="A6">
        <v>2093</v>
      </c>
      <c r="B6">
        <v>2024</v>
      </c>
      <c r="C6">
        <v>1</v>
      </c>
      <c r="D6">
        <v>9</v>
      </c>
      <c r="E6">
        <v>18</v>
      </c>
      <c r="F6" s="1">
        <v>4.3090000000000003E-3</v>
      </c>
      <c r="G6" s="1">
        <v>4.3140000000000001E-3</v>
      </c>
      <c r="H6" s="1">
        <v>4.3200000000000001E-3</v>
      </c>
      <c r="I6" s="1">
        <v>4.3249999999999999E-3</v>
      </c>
      <c r="J6" s="1">
        <v>4.3309999999999998E-3</v>
      </c>
      <c r="K6" s="1">
        <v>4.3359999999999996E-3</v>
      </c>
      <c r="L6" s="1">
        <v>4.3410000000000002E-3</v>
      </c>
      <c r="M6" s="1">
        <v>4.3470000000000002E-3</v>
      </c>
      <c r="N6" s="1">
        <v>4.352E-3</v>
      </c>
      <c r="O6" s="1">
        <v>4.359E-3</v>
      </c>
      <c r="P6" s="1">
        <v>4.3660000000000001E-3</v>
      </c>
      <c r="Q6" s="1">
        <v>4.3740000000000003E-3</v>
      </c>
      <c r="S6" s="16"/>
    </row>
    <row r="7" spans="1:19" x14ac:dyDescent="0.25">
      <c r="A7">
        <v>2094</v>
      </c>
      <c r="B7">
        <v>2024</v>
      </c>
      <c r="C7">
        <v>1</v>
      </c>
      <c r="D7">
        <v>9</v>
      </c>
      <c r="E7">
        <v>19</v>
      </c>
      <c r="F7" s="1">
        <v>1.7570000000000001E-3</v>
      </c>
      <c r="G7" s="1">
        <v>1.758E-3</v>
      </c>
      <c r="H7" s="1">
        <v>1.7600000000000001E-3</v>
      </c>
      <c r="I7" s="1">
        <v>1.761E-3</v>
      </c>
      <c r="J7" s="1">
        <v>1.7619999999999999E-3</v>
      </c>
      <c r="K7" s="1">
        <v>1.763E-3</v>
      </c>
      <c r="L7" s="1">
        <v>1.7639999999999999E-3</v>
      </c>
      <c r="M7" s="1">
        <v>1.7650000000000001E-3</v>
      </c>
      <c r="N7" s="1">
        <v>1.766E-3</v>
      </c>
      <c r="O7" s="1">
        <v>1.7669999999999999E-3</v>
      </c>
      <c r="P7" s="1">
        <v>1.769E-3</v>
      </c>
      <c r="Q7" s="1">
        <v>1.771E-3</v>
      </c>
      <c r="S7" s="16"/>
    </row>
    <row r="8" spans="1:19" x14ac:dyDescent="0.25">
      <c r="A8">
        <v>2095</v>
      </c>
      <c r="B8">
        <v>2024</v>
      </c>
      <c r="C8">
        <v>1</v>
      </c>
      <c r="D8">
        <v>9</v>
      </c>
      <c r="E8">
        <v>20</v>
      </c>
      <c r="F8" s="1">
        <v>1.475E-3</v>
      </c>
      <c r="G8" s="1">
        <v>1.4760000000000001E-3</v>
      </c>
      <c r="H8" s="1">
        <v>1.477E-3</v>
      </c>
      <c r="I8" s="1">
        <v>1.4779999999999999E-3</v>
      </c>
      <c r="J8" s="1">
        <v>1.4790000000000001E-3</v>
      </c>
      <c r="K8" s="1">
        <v>1.4790000000000001E-3</v>
      </c>
      <c r="L8" s="1">
        <v>1.48E-3</v>
      </c>
      <c r="M8" s="1">
        <v>1.4809999999999999E-3</v>
      </c>
      <c r="N8" s="1">
        <v>1.4809999999999999E-3</v>
      </c>
      <c r="O8" s="1">
        <v>1.482E-3</v>
      </c>
      <c r="P8" s="1">
        <v>1.4829999999999999E-3</v>
      </c>
      <c r="Q8" s="1">
        <v>1.485E-3</v>
      </c>
      <c r="S8" s="16"/>
    </row>
    <row r="9" spans="1:19" x14ac:dyDescent="0.25">
      <c r="A9">
        <v>2096</v>
      </c>
      <c r="B9">
        <v>2024</v>
      </c>
      <c r="C9">
        <v>1</v>
      </c>
      <c r="D9">
        <v>9</v>
      </c>
      <c r="E9">
        <v>21</v>
      </c>
      <c r="F9" s="1">
        <v>1.271E-3</v>
      </c>
      <c r="G9" s="1">
        <v>1.2719999999999999E-3</v>
      </c>
      <c r="H9" s="1">
        <v>1.273E-3</v>
      </c>
      <c r="I9" s="1">
        <v>1.274E-3</v>
      </c>
      <c r="J9" s="1">
        <v>1.2750000000000001E-3</v>
      </c>
      <c r="K9" s="1">
        <v>1.276E-3</v>
      </c>
      <c r="L9" s="1">
        <v>1.2769999999999999E-3</v>
      </c>
      <c r="M9" s="1">
        <v>1.2769999999999999E-3</v>
      </c>
      <c r="N9" s="1">
        <v>1.2780000000000001E-3</v>
      </c>
      <c r="O9" s="1">
        <v>1.279E-3</v>
      </c>
      <c r="P9" s="1">
        <v>1.2800000000000001E-3</v>
      </c>
      <c r="Q9" s="1">
        <v>1.281E-3</v>
      </c>
      <c r="S9" s="16"/>
    </row>
    <row r="10" spans="1:19" x14ac:dyDescent="0.25">
      <c r="A10">
        <v>2097</v>
      </c>
      <c r="B10">
        <v>2024</v>
      </c>
      <c r="C10">
        <v>1</v>
      </c>
      <c r="D10">
        <v>10</v>
      </c>
      <c r="E10">
        <v>19</v>
      </c>
      <c r="F10" s="1">
        <v>3.9379999999999997E-3</v>
      </c>
      <c r="G10" s="1">
        <v>3.9439999999999996E-3</v>
      </c>
      <c r="H10" s="1">
        <v>3.9500000000000004E-3</v>
      </c>
      <c r="I10" s="1">
        <v>3.9550000000000002E-3</v>
      </c>
      <c r="J10" s="1">
        <v>3.9610000000000001E-3</v>
      </c>
      <c r="K10" s="1">
        <v>3.967E-3</v>
      </c>
      <c r="L10" s="1">
        <v>3.9719999999999998E-3</v>
      </c>
      <c r="M10" s="1">
        <v>3.9779999999999998E-3</v>
      </c>
      <c r="N10" s="1">
        <v>3.9839999999999997E-3</v>
      </c>
      <c r="O10" s="1">
        <v>3.9909999999999998E-3</v>
      </c>
      <c r="P10" s="1">
        <v>3.9969999999999997E-3</v>
      </c>
      <c r="Q10" s="1">
        <v>4.0049999999999999E-3</v>
      </c>
      <c r="S10" s="16"/>
    </row>
    <row r="11" spans="1:19" x14ac:dyDescent="0.25">
      <c r="A11">
        <v>2098</v>
      </c>
      <c r="B11">
        <v>2024</v>
      </c>
      <c r="C11">
        <v>1</v>
      </c>
      <c r="D11">
        <v>10</v>
      </c>
      <c r="E11">
        <v>22</v>
      </c>
      <c r="F11" s="1">
        <v>1.343E-3</v>
      </c>
      <c r="G11" s="1">
        <v>1.3439999999999999E-3</v>
      </c>
      <c r="H11" s="1">
        <v>1.3450000000000001E-3</v>
      </c>
      <c r="I11" s="1">
        <v>1.3470000000000001E-3</v>
      </c>
      <c r="J11" s="1">
        <v>1.348E-3</v>
      </c>
      <c r="K11" s="1">
        <v>1.3489999999999999E-3</v>
      </c>
      <c r="L11" s="1">
        <v>1.3500000000000001E-3</v>
      </c>
      <c r="M11" s="1">
        <v>1.351E-3</v>
      </c>
      <c r="N11" s="1">
        <v>1.3519999999999999E-3</v>
      </c>
      <c r="O11" s="1">
        <v>1.354E-3</v>
      </c>
      <c r="P11" s="1">
        <v>1.3550000000000001E-3</v>
      </c>
      <c r="Q11" s="1">
        <v>1.356E-3</v>
      </c>
      <c r="S11" s="16"/>
    </row>
    <row r="12" spans="1:19" x14ac:dyDescent="0.25">
      <c r="A12">
        <v>2099</v>
      </c>
      <c r="B12">
        <v>2024</v>
      </c>
      <c r="C12">
        <v>1</v>
      </c>
      <c r="D12">
        <v>11</v>
      </c>
      <c r="E12">
        <v>19</v>
      </c>
      <c r="F12" s="1">
        <v>7.659E-3</v>
      </c>
      <c r="G12" s="1">
        <v>7.6740000000000003E-3</v>
      </c>
      <c r="H12" s="1">
        <v>7.6899999999999998E-3</v>
      </c>
      <c r="I12" s="1">
        <v>7.705E-3</v>
      </c>
      <c r="J12" s="1">
        <v>7.7200000000000003E-3</v>
      </c>
      <c r="K12" s="1">
        <v>7.7349999999999997E-3</v>
      </c>
      <c r="L12" s="1">
        <v>7.7499999999999999E-3</v>
      </c>
      <c r="M12" s="1">
        <v>7.7660000000000003E-3</v>
      </c>
      <c r="N12" s="1">
        <v>7.7809999999999997E-3</v>
      </c>
      <c r="O12" s="1">
        <v>7.7970000000000001E-3</v>
      </c>
      <c r="P12" s="1">
        <v>7.8139999999999998E-3</v>
      </c>
      <c r="Q12" s="1">
        <v>7.8320000000000004E-3</v>
      </c>
      <c r="S12" s="16"/>
    </row>
    <row r="13" spans="1:19" x14ac:dyDescent="0.25">
      <c r="A13">
        <v>2100</v>
      </c>
      <c r="B13">
        <v>2024</v>
      </c>
      <c r="C13">
        <v>1</v>
      </c>
      <c r="D13">
        <v>11</v>
      </c>
      <c r="E13">
        <v>23</v>
      </c>
      <c r="F13" s="1">
        <v>9.6500000000000004E-4</v>
      </c>
      <c r="G13" s="1">
        <v>9.6599999999999995E-4</v>
      </c>
      <c r="H13" s="1">
        <v>9.6699999999999998E-4</v>
      </c>
      <c r="I13" s="1">
        <v>9.6900000000000003E-4</v>
      </c>
      <c r="J13" s="1">
        <v>9.7000000000000005E-4</v>
      </c>
      <c r="K13" s="1">
        <v>9.7099999999999997E-4</v>
      </c>
      <c r="L13" s="1">
        <v>9.7199999999999999E-4</v>
      </c>
      <c r="M13" s="1">
        <v>9.7300000000000002E-4</v>
      </c>
      <c r="N13" s="1">
        <v>9.7499999999999996E-4</v>
      </c>
      <c r="O13" s="1">
        <v>9.7599999999999998E-4</v>
      </c>
      <c r="P13" s="1">
        <v>9.77E-4</v>
      </c>
      <c r="Q13" s="1">
        <v>9.7799999999999992E-4</v>
      </c>
      <c r="S13" s="16"/>
    </row>
    <row r="14" spans="1:19" x14ac:dyDescent="0.25">
      <c r="A14">
        <v>2101</v>
      </c>
      <c r="B14">
        <v>2024</v>
      </c>
      <c r="C14">
        <v>1</v>
      </c>
      <c r="D14">
        <v>12</v>
      </c>
      <c r="E14">
        <v>20</v>
      </c>
      <c r="F14" s="1">
        <v>5.5770000000000004E-3</v>
      </c>
      <c r="G14" s="1">
        <v>5.5880000000000001E-3</v>
      </c>
      <c r="H14" s="1">
        <v>5.5989999999999998E-3</v>
      </c>
      <c r="I14" s="1">
        <v>5.6100000000000004E-3</v>
      </c>
      <c r="J14" s="1">
        <v>5.6210000000000001E-3</v>
      </c>
      <c r="K14" s="1">
        <v>5.6309999999999997E-3</v>
      </c>
      <c r="L14" s="1">
        <v>5.6420000000000003E-3</v>
      </c>
      <c r="M14" s="1">
        <v>5.6519999999999999E-3</v>
      </c>
      <c r="N14" s="1">
        <v>5.6629999999999996E-3</v>
      </c>
      <c r="O14" s="1">
        <v>5.6740000000000002E-3</v>
      </c>
      <c r="P14" s="1">
        <v>5.6849999999999999E-3</v>
      </c>
      <c r="Q14" s="1">
        <v>5.6969999999999998E-3</v>
      </c>
      <c r="S14" s="16"/>
    </row>
    <row r="15" spans="1:19" x14ac:dyDescent="0.25">
      <c r="A15">
        <v>2102</v>
      </c>
      <c r="B15">
        <v>2024</v>
      </c>
      <c r="C15">
        <v>1</v>
      </c>
      <c r="D15">
        <v>12</v>
      </c>
      <c r="E15">
        <v>23</v>
      </c>
      <c r="F15" s="1">
        <v>1.2999999999999999E-3</v>
      </c>
      <c r="G15" s="1">
        <v>1.302E-3</v>
      </c>
      <c r="H15" s="1">
        <v>1.304E-3</v>
      </c>
      <c r="I15" s="1">
        <v>1.307E-3</v>
      </c>
      <c r="J15" s="1">
        <v>1.3090000000000001E-3</v>
      </c>
      <c r="K15" s="1">
        <v>1.3110000000000001E-3</v>
      </c>
      <c r="L15" s="1">
        <v>1.3129999999999999E-3</v>
      </c>
      <c r="M15" s="1">
        <v>1.315E-3</v>
      </c>
      <c r="N15" s="1">
        <v>1.317E-3</v>
      </c>
      <c r="O15" s="1">
        <v>1.3190000000000001E-3</v>
      </c>
      <c r="P15" s="1">
        <v>1.3209999999999999E-3</v>
      </c>
      <c r="Q15" s="1">
        <v>1.323E-3</v>
      </c>
      <c r="S15" s="16"/>
    </row>
    <row r="16" spans="1:19" x14ac:dyDescent="0.25">
      <c r="A16">
        <v>2103</v>
      </c>
      <c r="B16">
        <v>2024</v>
      </c>
      <c r="C16">
        <v>1</v>
      </c>
      <c r="D16">
        <v>13</v>
      </c>
      <c r="E16">
        <v>20</v>
      </c>
      <c r="F16" s="1">
        <v>1E-4</v>
      </c>
      <c r="G16" s="1">
        <v>1E-4</v>
      </c>
      <c r="H16" s="1">
        <v>1E-4</v>
      </c>
      <c r="I16" s="1">
        <v>1E-4</v>
      </c>
      <c r="J16" s="1">
        <v>1E-4</v>
      </c>
      <c r="K16" s="1">
        <v>1E-4</v>
      </c>
      <c r="L16" s="1">
        <v>1E-4</v>
      </c>
      <c r="M16" s="1">
        <v>1E-4</v>
      </c>
      <c r="N16" s="1">
        <v>1E-4</v>
      </c>
      <c r="O16" s="1">
        <v>1E-4</v>
      </c>
      <c r="P16" s="1">
        <v>1E-4</v>
      </c>
      <c r="Q16" s="1">
        <v>1E-4</v>
      </c>
      <c r="S16" s="16"/>
    </row>
    <row r="17" spans="1:20" x14ac:dyDescent="0.25">
      <c r="A17">
        <v>2104</v>
      </c>
      <c r="B17">
        <v>2024</v>
      </c>
      <c r="C17">
        <v>1</v>
      </c>
      <c r="D17">
        <v>14</v>
      </c>
      <c r="E17">
        <v>21</v>
      </c>
      <c r="F17" s="1">
        <v>3.859E-3</v>
      </c>
      <c r="G17" s="1">
        <v>3.8679999999999999E-3</v>
      </c>
      <c r="H17" s="1">
        <v>3.8769999999999998E-3</v>
      </c>
      <c r="I17" s="1">
        <v>3.8860000000000001E-3</v>
      </c>
      <c r="J17" s="1">
        <v>3.8939999999999999E-3</v>
      </c>
      <c r="K17" s="1">
        <v>3.9020000000000001E-3</v>
      </c>
      <c r="L17" s="1">
        <v>3.9100000000000003E-3</v>
      </c>
      <c r="M17" s="1">
        <v>3.9179999999999996E-3</v>
      </c>
      <c r="N17" s="1">
        <v>3.9259999999999998E-3</v>
      </c>
      <c r="O17" s="1">
        <v>3.934E-3</v>
      </c>
      <c r="P17" s="1">
        <v>3.9420000000000002E-3</v>
      </c>
      <c r="Q17" s="1">
        <v>3.9509999999999997E-3</v>
      </c>
      <c r="S17" s="16"/>
    </row>
    <row r="18" spans="1:20" x14ac:dyDescent="0.25">
      <c r="A18">
        <v>2105</v>
      </c>
      <c r="B18">
        <v>2024</v>
      </c>
      <c r="C18">
        <v>1</v>
      </c>
      <c r="D18">
        <v>15</v>
      </c>
      <c r="E18">
        <v>21</v>
      </c>
      <c r="F18" s="1">
        <v>4.1409999999999997E-3</v>
      </c>
      <c r="G18" s="1">
        <v>4.1520000000000003E-3</v>
      </c>
      <c r="H18" s="1">
        <v>4.1640000000000002E-3</v>
      </c>
      <c r="I18" s="1">
        <v>4.176E-3</v>
      </c>
      <c r="J18" s="1">
        <v>4.1859999999999996E-3</v>
      </c>
      <c r="K18" s="1">
        <v>4.1960000000000001E-3</v>
      </c>
      <c r="L18" s="1">
        <v>4.2050000000000004E-3</v>
      </c>
      <c r="M18" s="1">
        <v>4.215E-3</v>
      </c>
      <c r="N18" s="1">
        <v>4.2240000000000003E-3</v>
      </c>
      <c r="O18" s="1">
        <v>4.2329999999999998E-3</v>
      </c>
      <c r="P18" s="1">
        <v>4.2440000000000004E-3</v>
      </c>
      <c r="Q18" s="1">
        <v>4.2550000000000001E-3</v>
      </c>
      <c r="S18" s="16"/>
    </row>
    <row r="19" spans="1:20" x14ac:dyDescent="0.25">
      <c r="A19">
        <v>2106</v>
      </c>
      <c r="B19">
        <v>2024</v>
      </c>
      <c r="C19">
        <v>1</v>
      </c>
      <c r="D19">
        <v>16</v>
      </c>
      <c r="E19">
        <v>22</v>
      </c>
      <c r="F19" s="1">
        <v>2.9220000000000001E-3</v>
      </c>
      <c r="G19" s="1">
        <v>2.931E-3</v>
      </c>
      <c r="H19" s="1">
        <v>2.941E-3</v>
      </c>
      <c r="I19" s="1">
        <v>2.9489999999999998E-3</v>
      </c>
      <c r="J19" s="1">
        <v>2.957E-3</v>
      </c>
      <c r="K19" s="1">
        <v>2.9640000000000001E-3</v>
      </c>
      <c r="L19" s="1">
        <v>2.9710000000000001E-3</v>
      </c>
      <c r="M19" s="1">
        <v>2.9780000000000002E-3</v>
      </c>
      <c r="N19" s="1">
        <v>2.9849999999999998E-3</v>
      </c>
      <c r="O19" s="1">
        <v>2.9919999999999999E-3</v>
      </c>
      <c r="P19" s="1">
        <v>2.9989999999999999E-3</v>
      </c>
      <c r="Q19" s="1">
        <v>3.006E-3</v>
      </c>
      <c r="S19" s="16"/>
    </row>
    <row r="20" spans="1:20" x14ac:dyDescent="0.25">
      <c r="A20" s="6">
        <v>2107</v>
      </c>
      <c r="B20" s="6">
        <v>2024</v>
      </c>
      <c r="C20" s="6">
        <v>1</v>
      </c>
      <c r="D20" s="6">
        <v>1</v>
      </c>
      <c r="E20" s="6">
        <v>16</v>
      </c>
      <c r="F20" s="8">
        <v>7.27E-4</v>
      </c>
      <c r="G20" s="8">
        <v>7.2800000000000002E-4</v>
      </c>
      <c r="H20" s="8">
        <v>7.2800000000000002E-4</v>
      </c>
      <c r="I20" s="8">
        <v>7.2900000000000005E-4</v>
      </c>
      <c r="J20" s="8">
        <v>7.2999999999999996E-4</v>
      </c>
      <c r="K20" s="8">
        <v>7.3099999999999999E-4</v>
      </c>
      <c r="L20" s="8">
        <v>7.3099999999999999E-4</v>
      </c>
      <c r="M20" s="8">
        <v>7.3200000000000001E-4</v>
      </c>
      <c r="N20" s="8">
        <v>7.3300000000000004E-4</v>
      </c>
      <c r="O20" s="8">
        <v>7.3300000000000004E-4</v>
      </c>
      <c r="P20" s="8">
        <v>7.3399999999999995E-4</v>
      </c>
      <c r="Q20" s="8">
        <v>7.3499999999999998E-4</v>
      </c>
      <c r="R20" s="6" t="s">
        <v>43</v>
      </c>
      <c r="S20" s="16"/>
    </row>
    <row r="21" spans="1:20" x14ac:dyDescent="0.25">
      <c r="A21" s="6">
        <v>2108</v>
      </c>
      <c r="B21" s="6">
        <v>2024</v>
      </c>
      <c r="C21" s="6">
        <v>1</v>
      </c>
      <c r="D21" s="6">
        <v>2</v>
      </c>
      <c r="E21" s="6">
        <v>16</v>
      </c>
      <c r="F21" s="8">
        <v>8.2100000000000001E-4</v>
      </c>
      <c r="G21" s="8">
        <v>8.2200000000000003E-4</v>
      </c>
      <c r="H21" s="8">
        <v>8.2200000000000003E-4</v>
      </c>
      <c r="I21" s="8">
        <v>8.2299999999999995E-4</v>
      </c>
      <c r="J21" s="8">
        <v>8.2399999999999997E-4</v>
      </c>
      <c r="K21" s="8">
        <v>8.2399999999999997E-4</v>
      </c>
      <c r="L21" s="8">
        <v>8.25E-4</v>
      </c>
      <c r="M21" s="8">
        <v>8.2600000000000002E-4</v>
      </c>
      <c r="N21" s="8">
        <v>8.2600000000000002E-4</v>
      </c>
      <c r="O21" s="8">
        <v>8.2700000000000004E-4</v>
      </c>
      <c r="P21" s="8">
        <v>8.2799999999999996E-4</v>
      </c>
      <c r="Q21" s="8">
        <v>8.2899999999999998E-4</v>
      </c>
      <c r="R21" s="6" t="s">
        <v>43</v>
      </c>
      <c r="S21" s="16"/>
    </row>
    <row r="22" spans="1:20" x14ac:dyDescent="0.25">
      <c r="A22" s="6">
        <v>2109</v>
      </c>
      <c r="B22" s="6">
        <v>2024</v>
      </c>
      <c r="C22" s="6">
        <v>1</v>
      </c>
      <c r="D22" s="6">
        <v>3</v>
      </c>
      <c r="E22" s="6">
        <v>16</v>
      </c>
      <c r="F22" s="8">
        <v>9.8400000000000007E-4</v>
      </c>
      <c r="G22" s="8">
        <v>9.8499999999999998E-4</v>
      </c>
      <c r="H22" s="8">
        <v>9.8499999999999998E-4</v>
      </c>
      <c r="I22" s="8">
        <v>9.859999999999999E-4</v>
      </c>
      <c r="J22" s="8">
        <v>9.859999999999999E-4</v>
      </c>
      <c r="K22" s="8">
        <v>9.8700000000000003E-4</v>
      </c>
      <c r="L22" s="8">
        <v>9.8700000000000003E-4</v>
      </c>
      <c r="M22" s="8">
        <v>9.8799999999999995E-4</v>
      </c>
      <c r="N22" s="8">
        <v>9.8799999999999995E-4</v>
      </c>
      <c r="O22" s="8">
        <v>9.8900000000000008E-4</v>
      </c>
      <c r="P22" s="8">
        <v>9.8999999999999999E-4</v>
      </c>
      <c r="Q22" s="8">
        <v>9.9099999999999991E-4</v>
      </c>
      <c r="R22" s="6" t="s">
        <v>43</v>
      </c>
      <c r="S22" s="16"/>
    </row>
    <row r="23" spans="1:20" x14ac:dyDescent="0.25">
      <c r="A23" s="6">
        <v>2110</v>
      </c>
      <c r="B23" s="6">
        <v>2024</v>
      </c>
      <c r="C23" s="6">
        <v>1</v>
      </c>
      <c r="D23" s="6">
        <v>4</v>
      </c>
      <c r="E23" s="6">
        <v>16</v>
      </c>
      <c r="F23" s="8">
        <v>1.6590000000000001E-3</v>
      </c>
      <c r="G23" s="8">
        <v>1.6590000000000001E-3</v>
      </c>
      <c r="H23" s="8">
        <v>1.66E-3</v>
      </c>
      <c r="I23" s="8">
        <v>1.6609999999999999E-3</v>
      </c>
      <c r="J23" s="8">
        <v>1.6609999999999999E-3</v>
      </c>
      <c r="K23" s="8">
        <v>1.6620000000000001E-3</v>
      </c>
      <c r="L23" s="8">
        <v>1.6620000000000001E-3</v>
      </c>
      <c r="M23" s="8">
        <v>1.663E-3</v>
      </c>
      <c r="N23" s="8">
        <v>1.663E-3</v>
      </c>
      <c r="O23" s="8">
        <v>1.665E-3</v>
      </c>
      <c r="P23" s="8">
        <v>1.6659999999999999E-3</v>
      </c>
      <c r="Q23" s="8">
        <v>1.668E-3</v>
      </c>
      <c r="R23" s="6" t="s">
        <v>43</v>
      </c>
      <c r="S23" s="16"/>
    </row>
    <row r="24" spans="1:20" x14ac:dyDescent="0.25">
      <c r="A24" s="6">
        <v>2111</v>
      </c>
      <c r="B24" s="6">
        <v>2024</v>
      </c>
      <c r="C24" s="6">
        <v>1</v>
      </c>
      <c r="D24" s="6">
        <v>5</v>
      </c>
      <c r="E24" s="6">
        <v>15</v>
      </c>
      <c r="F24" s="8">
        <v>3.0609999999999999E-3</v>
      </c>
      <c r="G24" s="8">
        <v>3.0609999999999999E-3</v>
      </c>
      <c r="H24" s="8">
        <v>3.0599999999999998E-3</v>
      </c>
      <c r="I24" s="8">
        <v>3.0599999999999998E-3</v>
      </c>
      <c r="J24" s="8">
        <v>3.0590000000000001E-3</v>
      </c>
      <c r="K24" s="8">
        <v>3.058E-3</v>
      </c>
      <c r="L24" s="8">
        <v>3.0569999999999998E-3</v>
      </c>
      <c r="M24" s="8">
        <v>3.058E-3</v>
      </c>
      <c r="N24" s="8">
        <v>3.0590000000000001E-3</v>
      </c>
      <c r="O24" s="8">
        <v>3.0620000000000001E-3</v>
      </c>
      <c r="P24" s="8">
        <v>3.0669999999999998E-3</v>
      </c>
      <c r="Q24" s="8">
        <v>3.0720000000000001E-3</v>
      </c>
      <c r="R24" s="6" t="s">
        <v>43</v>
      </c>
      <c r="S24" s="16"/>
    </row>
    <row r="25" spans="1:20" x14ac:dyDescent="0.25">
      <c r="A25" s="6">
        <v>2112</v>
      </c>
      <c r="B25" s="6">
        <v>2024</v>
      </c>
      <c r="C25" s="6">
        <v>1</v>
      </c>
      <c r="D25" s="6">
        <v>6</v>
      </c>
      <c r="E25" s="6">
        <v>14</v>
      </c>
      <c r="F25" s="8">
        <v>4.4390000000000002E-3</v>
      </c>
      <c r="G25" s="8">
        <v>4.4359999999999998E-3</v>
      </c>
      <c r="H25" s="8">
        <v>4.4320000000000002E-3</v>
      </c>
      <c r="I25" s="8">
        <v>4.4279999999999996E-3</v>
      </c>
      <c r="J25" s="8">
        <v>4.424E-3</v>
      </c>
      <c r="K25" s="8">
        <v>4.4209999999999996E-3</v>
      </c>
      <c r="L25" s="8">
        <v>4.4190000000000002E-3</v>
      </c>
      <c r="M25" s="8">
        <v>4.4219999999999997E-3</v>
      </c>
      <c r="N25" s="8">
        <v>4.4289999999999998E-3</v>
      </c>
      <c r="O25" s="8">
        <v>4.4409999999999996E-3</v>
      </c>
      <c r="P25" s="8">
        <v>4.4549999999999998E-3</v>
      </c>
      <c r="Q25" s="8">
        <v>4.4720000000000003E-3</v>
      </c>
      <c r="R25" s="6" t="s">
        <v>43</v>
      </c>
      <c r="S25" s="16"/>
    </row>
    <row r="26" spans="1:20" x14ac:dyDescent="0.25">
      <c r="A26" s="6">
        <v>2113</v>
      </c>
      <c r="B26" s="6">
        <v>2024</v>
      </c>
      <c r="C26" s="6">
        <v>1</v>
      </c>
      <c r="D26" s="6">
        <v>7</v>
      </c>
      <c r="E26" s="6">
        <v>14</v>
      </c>
      <c r="F26" s="8">
        <v>6.0800000000000003E-3</v>
      </c>
      <c r="G26" s="8">
        <v>6.0720000000000001E-3</v>
      </c>
      <c r="H26" s="8">
        <v>6.0629999999999998E-3</v>
      </c>
      <c r="I26" s="8">
        <v>6.0530000000000002E-3</v>
      </c>
      <c r="J26" s="8">
        <v>6.0429999999999998E-3</v>
      </c>
      <c r="K26" s="8">
        <v>6.0359999999999997E-3</v>
      </c>
      <c r="L26" s="8">
        <v>6.0309999999999999E-3</v>
      </c>
      <c r="M26" s="8">
        <v>6.0340000000000003E-3</v>
      </c>
      <c r="N26" s="8">
        <v>6.0439999999999999E-3</v>
      </c>
      <c r="O26" s="8">
        <v>6.0610000000000004E-3</v>
      </c>
      <c r="P26" s="8">
        <v>6.0819999999999997E-3</v>
      </c>
      <c r="Q26" s="8">
        <v>6.1060000000000003E-3</v>
      </c>
      <c r="R26" s="6" t="s">
        <v>43</v>
      </c>
      <c r="S26" s="16"/>
    </row>
    <row r="27" spans="1:20" x14ac:dyDescent="0.25">
      <c r="A27" s="6">
        <v>2114</v>
      </c>
      <c r="B27" s="6">
        <v>2024</v>
      </c>
      <c r="C27" s="6">
        <v>1</v>
      </c>
      <c r="D27" s="6">
        <v>8</v>
      </c>
      <c r="E27" s="6">
        <v>13</v>
      </c>
      <c r="F27" s="8">
        <v>1.1237E-2</v>
      </c>
      <c r="G27" s="8">
        <v>1.1212E-2</v>
      </c>
      <c r="H27" s="8">
        <v>1.1183E-2</v>
      </c>
      <c r="I27" s="8">
        <v>1.1155999999999999E-2</v>
      </c>
      <c r="J27" s="8">
        <v>1.1133000000000001E-2</v>
      </c>
      <c r="K27" s="8">
        <v>1.1121000000000001E-2</v>
      </c>
      <c r="L27" s="8">
        <v>1.1129E-2</v>
      </c>
      <c r="M27" s="8">
        <v>1.1164E-2</v>
      </c>
      <c r="N27" s="8">
        <v>1.1221999999999999E-2</v>
      </c>
      <c r="O27" s="8">
        <v>1.1296E-2</v>
      </c>
      <c r="P27" s="8">
        <v>1.1368E-2</v>
      </c>
      <c r="Q27" s="8">
        <v>1.1429999999999999E-2</v>
      </c>
      <c r="R27" s="6" t="s">
        <v>43</v>
      </c>
      <c r="S27" s="16"/>
    </row>
    <row r="28" spans="1:20" x14ac:dyDescent="0.25">
      <c r="A28" s="6">
        <v>2115</v>
      </c>
      <c r="B28" s="6">
        <v>2024</v>
      </c>
      <c r="C28" s="6">
        <v>1</v>
      </c>
      <c r="D28" s="6">
        <v>9</v>
      </c>
      <c r="E28" s="6">
        <v>13</v>
      </c>
      <c r="F28" s="8">
        <v>3.4327999999999997E-2</v>
      </c>
      <c r="G28" s="8">
        <v>3.4263000000000002E-2</v>
      </c>
      <c r="H28" s="8">
        <v>3.4195000000000003E-2</v>
      </c>
      <c r="I28" s="8">
        <v>3.4132000000000003E-2</v>
      </c>
      <c r="J28" s="8">
        <v>3.4081E-2</v>
      </c>
      <c r="K28" s="8">
        <v>3.4056999999999997E-2</v>
      </c>
      <c r="L28" s="8">
        <v>3.4078999999999998E-2</v>
      </c>
      <c r="M28" s="8">
        <v>3.4160000000000003E-2</v>
      </c>
      <c r="N28" s="8">
        <v>3.4279999999999998E-2</v>
      </c>
      <c r="O28" s="8">
        <v>3.4419999999999999E-2</v>
      </c>
      <c r="P28" s="8">
        <v>3.4537999999999999E-2</v>
      </c>
      <c r="Q28" s="8">
        <v>3.4620999999999999E-2</v>
      </c>
      <c r="R28" s="6" t="s">
        <v>43</v>
      </c>
      <c r="S28" s="16"/>
    </row>
    <row r="29" spans="1:20" x14ac:dyDescent="0.25">
      <c r="A29" s="6">
        <v>2116</v>
      </c>
      <c r="B29" s="6">
        <v>2024</v>
      </c>
      <c r="C29" s="6">
        <v>1</v>
      </c>
      <c r="D29" s="6">
        <v>10</v>
      </c>
      <c r="E29" s="6">
        <v>12</v>
      </c>
      <c r="F29" s="8">
        <v>7.6979000000000006E-2</v>
      </c>
      <c r="G29" s="8">
        <v>7.6786999999999994E-2</v>
      </c>
      <c r="H29" s="8">
        <v>7.6586000000000001E-2</v>
      </c>
      <c r="I29" s="8">
        <v>7.6412999999999995E-2</v>
      </c>
      <c r="J29" s="8">
        <v>7.6299000000000006E-2</v>
      </c>
      <c r="K29" s="8">
        <v>7.6283000000000004E-2</v>
      </c>
      <c r="L29" s="8">
        <v>7.6438000000000006E-2</v>
      </c>
      <c r="M29" s="8">
        <v>7.6759999999999995E-2</v>
      </c>
      <c r="N29" s="8">
        <v>7.7108999999999997E-2</v>
      </c>
      <c r="O29" s="8">
        <v>7.7418000000000001E-2</v>
      </c>
      <c r="P29" s="8">
        <v>7.7576999999999993E-2</v>
      </c>
      <c r="Q29" s="8">
        <v>7.7596999999999999E-2</v>
      </c>
      <c r="R29" s="6" t="s">
        <v>43</v>
      </c>
      <c r="S29" s="16"/>
    </row>
    <row r="30" spans="1:20" x14ac:dyDescent="0.25">
      <c r="A30" s="7">
        <v>2117</v>
      </c>
      <c r="B30" s="7">
        <v>2024</v>
      </c>
      <c r="C30" s="7">
        <v>1</v>
      </c>
      <c r="D30" s="7">
        <v>11</v>
      </c>
      <c r="E30" s="7">
        <v>11</v>
      </c>
      <c r="F30" s="9">
        <v>6.6747000000000001E-2</v>
      </c>
      <c r="G30" s="9">
        <v>6.6511000000000001E-2</v>
      </c>
      <c r="H30" s="9">
        <v>6.6222000000000003E-2</v>
      </c>
      <c r="I30" s="9">
        <v>6.6058000000000006E-2</v>
      </c>
      <c r="J30" s="9">
        <v>6.6142999999999993E-2</v>
      </c>
      <c r="K30" s="9">
        <v>6.6528000000000004E-2</v>
      </c>
      <c r="L30" s="9">
        <v>6.7534999999999998E-2</v>
      </c>
      <c r="M30" s="9">
        <v>6.8809999999999996E-2</v>
      </c>
      <c r="N30" s="9">
        <v>6.9691000000000003E-2</v>
      </c>
      <c r="O30" s="9">
        <v>7.0250000000000007E-2</v>
      </c>
      <c r="P30" s="9">
        <v>7.0211999999999997E-2</v>
      </c>
      <c r="Q30" s="9">
        <v>6.9921999999999998E-2</v>
      </c>
      <c r="R30" s="7" t="s">
        <v>45</v>
      </c>
      <c r="S30" s="16"/>
    </row>
    <row r="31" spans="1:20" x14ac:dyDescent="0.25">
      <c r="A31" s="7">
        <v>2118</v>
      </c>
      <c r="B31" s="7">
        <v>2024</v>
      </c>
      <c r="C31" s="7">
        <v>1</v>
      </c>
      <c r="D31" s="7">
        <v>12</v>
      </c>
      <c r="E31" s="7">
        <v>11</v>
      </c>
      <c r="F31" s="9">
        <v>8.8027999999999995E-2</v>
      </c>
      <c r="G31" s="9">
        <v>8.7751999999999997E-2</v>
      </c>
      <c r="H31" s="9">
        <v>8.6970000000000006E-2</v>
      </c>
      <c r="I31" s="9">
        <v>8.6930999999999994E-2</v>
      </c>
      <c r="J31" s="9">
        <v>8.8044999999999998E-2</v>
      </c>
      <c r="K31" s="9">
        <v>9.0214000000000003E-2</v>
      </c>
      <c r="L31" s="9">
        <v>9.5158999999999994E-2</v>
      </c>
      <c r="M31" s="9">
        <v>0.100157</v>
      </c>
      <c r="N31" s="9">
        <v>0.10231</v>
      </c>
      <c r="O31" s="9">
        <v>0.10330499999999999</v>
      </c>
      <c r="P31" s="9">
        <v>0.10172299999999999</v>
      </c>
      <c r="Q31" s="9">
        <v>0.100089</v>
      </c>
      <c r="R31" s="7" t="s">
        <v>45</v>
      </c>
      <c r="S31" s="16"/>
    </row>
    <row r="32" spans="1:20" x14ac:dyDescent="0.25">
      <c r="A32" s="7">
        <v>2119</v>
      </c>
      <c r="B32" s="7">
        <v>2024</v>
      </c>
      <c r="C32" s="7">
        <v>1</v>
      </c>
      <c r="D32" s="17">
        <v>13</v>
      </c>
      <c r="E32" s="17">
        <v>11</v>
      </c>
      <c r="F32" s="18">
        <v>0.40056999999999998</v>
      </c>
      <c r="G32" s="18">
        <v>0.435608</v>
      </c>
      <c r="H32" s="18">
        <v>0.39724500000000001</v>
      </c>
      <c r="I32" s="18">
        <v>0.44224000000000002</v>
      </c>
      <c r="J32" s="18">
        <v>0.52763700000000002</v>
      </c>
      <c r="K32" s="18">
        <v>0.62131400000000003</v>
      </c>
      <c r="L32" s="18">
        <v>0.87185900000000005</v>
      </c>
      <c r="M32" s="18">
        <v>0.97850400000000004</v>
      </c>
      <c r="N32" s="18">
        <v>0.88812000000000002</v>
      </c>
      <c r="O32" s="18">
        <v>0.85712200000000005</v>
      </c>
      <c r="P32" s="18">
        <v>0.68777100000000002</v>
      </c>
      <c r="Q32" s="9">
        <v>0.66136499999999998</v>
      </c>
      <c r="R32" s="7" t="s">
        <v>45</v>
      </c>
      <c r="S32" s="16"/>
      <c r="T32" s="20" t="s">
        <v>54</v>
      </c>
    </row>
    <row r="33" spans="1:19" x14ac:dyDescent="0.25">
      <c r="A33" s="7">
        <v>2120</v>
      </c>
      <c r="B33" s="7">
        <v>2024</v>
      </c>
      <c r="C33" s="7">
        <v>1</v>
      </c>
      <c r="D33" s="7">
        <v>14</v>
      </c>
      <c r="E33" s="7">
        <v>10</v>
      </c>
      <c r="F33" s="9">
        <v>0.132101</v>
      </c>
      <c r="G33" s="9">
        <v>0.13091900000000001</v>
      </c>
      <c r="H33" s="9">
        <v>0.129637</v>
      </c>
      <c r="I33" s="9">
        <v>0.12865699999999999</v>
      </c>
      <c r="J33" s="9">
        <v>0.12826699999999999</v>
      </c>
      <c r="K33" s="9">
        <v>0.13004099999999999</v>
      </c>
      <c r="L33" s="9">
        <v>0.132853</v>
      </c>
      <c r="M33" s="9">
        <v>0.13605100000000001</v>
      </c>
      <c r="N33" s="9">
        <v>0.13783300000000001</v>
      </c>
      <c r="O33" s="9">
        <v>0.138821</v>
      </c>
      <c r="P33" s="9">
        <v>0.13863400000000001</v>
      </c>
      <c r="Q33" s="9">
        <v>0.13739100000000001</v>
      </c>
      <c r="R33" s="7" t="s">
        <v>45</v>
      </c>
      <c r="S33" s="16"/>
    </row>
    <row r="34" spans="1:19" x14ac:dyDescent="0.25">
      <c r="A34" s="7">
        <v>2121</v>
      </c>
      <c r="B34" s="7">
        <v>2024</v>
      </c>
      <c r="C34" s="7">
        <v>1</v>
      </c>
      <c r="D34" s="7">
        <v>15</v>
      </c>
      <c r="E34" s="7">
        <v>9</v>
      </c>
      <c r="F34" s="9">
        <v>2.4393000000000001E-2</v>
      </c>
      <c r="G34" s="9">
        <v>2.4204E-2</v>
      </c>
      <c r="H34" s="9">
        <v>2.4008000000000002E-2</v>
      </c>
      <c r="I34" s="9">
        <v>2.3838000000000002E-2</v>
      </c>
      <c r="J34" s="9">
        <v>2.3720999999999999E-2</v>
      </c>
      <c r="K34" s="9">
        <v>2.3765000000000001E-2</v>
      </c>
      <c r="L34" s="9">
        <v>2.4003E-2</v>
      </c>
      <c r="M34" s="9">
        <v>2.4421000000000002E-2</v>
      </c>
      <c r="N34" s="9">
        <v>2.4877E-2</v>
      </c>
      <c r="O34" s="9">
        <v>2.5321E-2</v>
      </c>
      <c r="P34" s="9">
        <v>2.5648000000000001E-2</v>
      </c>
      <c r="Q34" s="9">
        <v>2.5836999999999999E-2</v>
      </c>
      <c r="R34" s="7" t="s">
        <v>45</v>
      </c>
      <c r="S34" s="16"/>
    </row>
    <row r="35" spans="1:19" x14ac:dyDescent="0.25">
      <c r="A35" s="7">
        <v>2122</v>
      </c>
      <c r="B35" s="7">
        <v>2024</v>
      </c>
      <c r="C35" s="7">
        <v>1</v>
      </c>
      <c r="D35" s="7">
        <v>15</v>
      </c>
      <c r="E35" s="7">
        <v>10</v>
      </c>
      <c r="F35" s="9">
        <v>0.105611</v>
      </c>
      <c r="G35" s="9">
        <v>0.104972</v>
      </c>
      <c r="H35" s="9">
        <v>0.104314</v>
      </c>
      <c r="I35" s="9">
        <v>0.103743</v>
      </c>
      <c r="J35" s="9">
        <v>0.103336</v>
      </c>
      <c r="K35" s="9">
        <v>0.103464</v>
      </c>
      <c r="L35" s="9">
        <v>0.104034</v>
      </c>
      <c r="M35" s="9">
        <v>0.104966</v>
      </c>
      <c r="N35" s="9">
        <v>0.105795</v>
      </c>
      <c r="O35" s="9">
        <v>0.106445</v>
      </c>
      <c r="P35" s="9">
        <v>0.10672</v>
      </c>
      <c r="Q35" s="9">
        <v>0.106584</v>
      </c>
      <c r="R35" s="7" t="s">
        <v>45</v>
      </c>
      <c r="S35" s="16"/>
    </row>
    <row r="36" spans="1:19" x14ac:dyDescent="0.25">
      <c r="A36" s="7">
        <v>2123</v>
      </c>
      <c r="B36" s="7">
        <v>2024</v>
      </c>
      <c r="C36" s="7">
        <v>1</v>
      </c>
      <c r="D36" s="7">
        <v>16</v>
      </c>
      <c r="E36" s="7">
        <v>9</v>
      </c>
      <c r="F36" s="9">
        <v>3.9615999999999998E-2</v>
      </c>
      <c r="G36" s="9">
        <v>3.9468999999999997E-2</v>
      </c>
      <c r="H36" s="9">
        <v>3.9316999999999998E-2</v>
      </c>
      <c r="I36" s="9">
        <v>3.9183000000000003E-2</v>
      </c>
      <c r="J36" s="9">
        <v>3.9081999999999999E-2</v>
      </c>
      <c r="K36" s="9">
        <v>3.9083E-2</v>
      </c>
      <c r="L36" s="9">
        <v>3.9230000000000001E-2</v>
      </c>
      <c r="M36" s="9">
        <v>3.9530000000000003E-2</v>
      </c>
      <c r="N36" s="9">
        <v>3.9898000000000003E-2</v>
      </c>
      <c r="O36" s="9">
        <v>4.0282999999999999E-2</v>
      </c>
      <c r="P36" s="9">
        <v>4.0589E-2</v>
      </c>
      <c r="Q36" s="9">
        <v>4.0786999999999997E-2</v>
      </c>
      <c r="R36" s="7" t="s">
        <v>45</v>
      </c>
      <c r="S36" s="16"/>
    </row>
    <row r="37" spans="1:19" x14ac:dyDescent="0.25">
      <c r="A37" s="7">
        <v>2124</v>
      </c>
      <c r="B37" s="7">
        <v>2024</v>
      </c>
      <c r="C37" s="7">
        <v>1</v>
      </c>
      <c r="D37" s="7">
        <v>17</v>
      </c>
      <c r="E37" s="7">
        <v>8</v>
      </c>
      <c r="F37" s="9">
        <v>2.1981000000000001E-2</v>
      </c>
      <c r="G37" s="9">
        <v>2.1940999999999999E-2</v>
      </c>
      <c r="H37" s="9">
        <v>2.1895000000000001E-2</v>
      </c>
      <c r="I37" s="9">
        <v>2.1850999999999999E-2</v>
      </c>
      <c r="J37" s="9">
        <v>2.1812000000000002E-2</v>
      </c>
      <c r="K37" s="9">
        <v>2.1793E-2</v>
      </c>
      <c r="L37" s="9">
        <v>2.181E-2</v>
      </c>
      <c r="M37" s="9">
        <v>2.1878000000000002E-2</v>
      </c>
      <c r="N37" s="9">
        <v>2.1985999999999999E-2</v>
      </c>
      <c r="O37" s="9">
        <v>2.2124000000000001E-2</v>
      </c>
      <c r="P37" s="9">
        <v>2.2259999999999999E-2</v>
      </c>
      <c r="Q37" s="9">
        <v>2.2379E-2</v>
      </c>
      <c r="R37" s="7" t="s">
        <v>45</v>
      </c>
      <c r="S37" s="16"/>
    </row>
    <row r="38" spans="1:19" x14ac:dyDescent="0.25">
      <c r="A38" s="7">
        <v>2125</v>
      </c>
      <c r="B38" s="7">
        <v>2024</v>
      </c>
      <c r="C38" s="7">
        <v>1</v>
      </c>
      <c r="D38" s="7">
        <v>18</v>
      </c>
      <c r="E38" s="7">
        <v>6</v>
      </c>
      <c r="F38" s="9">
        <v>4.189E-3</v>
      </c>
      <c r="G38" s="9">
        <v>4.1869999999999997E-3</v>
      </c>
      <c r="H38" s="9">
        <v>4.1850000000000004E-3</v>
      </c>
      <c r="I38" s="9">
        <v>4.1809999999999998E-3</v>
      </c>
      <c r="J38" s="9">
        <v>4.176E-3</v>
      </c>
      <c r="K38" s="9">
        <v>4.1720000000000004E-3</v>
      </c>
      <c r="L38" s="9">
        <v>4.169E-3</v>
      </c>
      <c r="M38" s="9">
        <v>4.1679999999999998E-3</v>
      </c>
      <c r="N38" s="9">
        <v>4.1710000000000002E-3</v>
      </c>
      <c r="O38" s="9">
        <v>4.1780000000000003E-3</v>
      </c>
      <c r="P38" s="9">
        <v>4.189E-3</v>
      </c>
      <c r="Q38" s="9">
        <v>4.2030000000000001E-3</v>
      </c>
      <c r="R38" s="7" t="s">
        <v>45</v>
      </c>
      <c r="S38" s="16"/>
    </row>
    <row r="39" spans="1:19" x14ac:dyDescent="0.25">
      <c r="A39" s="7">
        <v>2126</v>
      </c>
      <c r="B39" s="7">
        <v>2024</v>
      </c>
      <c r="C39" s="7">
        <v>1</v>
      </c>
      <c r="D39" s="7">
        <v>18</v>
      </c>
      <c r="E39" s="7">
        <v>7</v>
      </c>
      <c r="F39" s="9">
        <v>1.0208E-2</v>
      </c>
      <c r="G39" s="9">
        <v>1.0201999999999999E-2</v>
      </c>
      <c r="H39" s="9">
        <v>1.0193000000000001E-2</v>
      </c>
      <c r="I39" s="9">
        <v>1.0182999999999999E-2</v>
      </c>
      <c r="J39" s="9">
        <v>1.0172E-2</v>
      </c>
      <c r="K39" s="9">
        <v>1.0163E-2</v>
      </c>
      <c r="L39" s="9">
        <v>1.0161999999999999E-2</v>
      </c>
      <c r="M39" s="9">
        <v>1.0172E-2</v>
      </c>
      <c r="N39" s="9">
        <v>1.0194999999999999E-2</v>
      </c>
      <c r="O39" s="9">
        <v>1.0232E-2</v>
      </c>
      <c r="P39" s="9">
        <v>1.0274999999999999E-2</v>
      </c>
      <c r="Q39" s="9">
        <v>1.0323000000000001E-2</v>
      </c>
      <c r="R39" s="7" t="s">
        <v>45</v>
      </c>
      <c r="S39" s="16"/>
    </row>
    <row r="40" spans="1:19" x14ac:dyDescent="0.25">
      <c r="A40" s="7">
        <v>2127</v>
      </c>
      <c r="B40" s="7">
        <v>2024</v>
      </c>
      <c r="C40" s="7">
        <v>1</v>
      </c>
      <c r="D40" s="7">
        <v>19</v>
      </c>
      <c r="E40" s="7">
        <v>6</v>
      </c>
      <c r="F40" s="9">
        <v>5.0939999999999996E-3</v>
      </c>
      <c r="G40" s="9">
        <v>5.0949999999999997E-3</v>
      </c>
      <c r="H40" s="9">
        <v>5.0949999999999997E-3</v>
      </c>
      <c r="I40" s="9">
        <v>5.0939999999999996E-3</v>
      </c>
      <c r="J40" s="9">
        <v>5.0920000000000002E-3</v>
      </c>
      <c r="K40" s="9">
        <v>5.0899999999999999E-3</v>
      </c>
      <c r="L40" s="9">
        <v>5.0889999999999998E-3</v>
      </c>
      <c r="M40" s="9">
        <v>5.0899999999999999E-3</v>
      </c>
      <c r="N40" s="9">
        <v>5.0949999999999997E-3</v>
      </c>
      <c r="O40" s="9">
        <v>5.1050000000000002E-3</v>
      </c>
      <c r="P40" s="9">
        <v>5.1180000000000002E-3</v>
      </c>
      <c r="Q40" s="9">
        <v>5.1339999999999997E-3</v>
      </c>
      <c r="R40" s="7" t="s">
        <v>45</v>
      </c>
      <c r="S40" s="16"/>
    </row>
    <row r="41" spans="1:19" x14ac:dyDescent="0.25">
      <c r="A41" s="7">
        <v>2128</v>
      </c>
      <c r="B41" s="7">
        <v>2024</v>
      </c>
      <c r="C41" s="7">
        <v>1</v>
      </c>
      <c r="D41" s="7">
        <v>20</v>
      </c>
      <c r="E41" s="7">
        <v>5</v>
      </c>
      <c r="F41" s="9">
        <v>3.1289999999999998E-3</v>
      </c>
      <c r="G41" s="9">
        <v>3.13E-3</v>
      </c>
      <c r="H41" s="9">
        <v>3.1310000000000001E-3</v>
      </c>
      <c r="I41" s="9">
        <v>3.1319999999999998E-3</v>
      </c>
      <c r="J41" s="9">
        <v>3.1319999999999998E-3</v>
      </c>
      <c r="K41" s="9">
        <v>3.1319999999999998E-3</v>
      </c>
      <c r="L41" s="9">
        <v>3.1319999999999998E-3</v>
      </c>
      <c r="M41" s="9">
        <v>3.1329999999999999E-3</v>
      </c>
      <c r="N41" s="9">
        <v>3.1340000000000001E-3</v>
      </c>
      <c r="O41" s="9">
        <v>3.1359999999999999E-3</v>
      </c>
      <c r="P41" s="9">
        <v>3.1389999999999999E-3</v>
      </c>
      <c r="Q41" s="9">
        <v>3.1440000000000001E-3</v>
      </c>
      <c r="R41" s="7" t="s">
        <v>45</v>
      </c>
      <c r="S41" s="16"/>
    </row>
    <row r="42" spans="1:19" x14ac:dyDescent="0.25">
      <c r="A42" s="7">
        <v>2129</v>
      </c>
      <c r="B42" s="7">
        <v>2024</v>
      </c>
      <c r="C42" s="7">
        <v>1</v>
      </c>
      <c r="D42" s="7">
        <v>21</v>
      </c>
      <c r="E42" s="7">
        <v>4</v>
      </c>
      <c r="F42" s="9">
        <v>1.5870000000000001E-3</v>
      </c>
      <c r="G42" s="9">
        <v>1.588E-3</v>
      </c>
      <c r="H42" s="9">
        <v>1.5889999999999999E-3</v>
      </c>
      <c r="I42" s="9">
        <v>1.5900000000000001E-3</v>
      </c>
      <c r="J42" s="9">
        <v>1.591E-3</v>
      </c>
      <c r="K42" s="9">
        <v>1.5920000000000001E-3</v>
      </c>
      <c r="L42" s="9">
        <v>1.593E-3</v>
      </c>
      <c r="M42" s="9">
        <v>1.5939999999999999E-3</v>
      </c>
      <c r="N42" s="9">
        <v>1.5950000000000001E-3</v>
      </c>
      <c r="O42" s="9">
        <v>1.596E-3</v>
      </c>
      <c r="P42" s="9">
        <v>1.5969999999999999E-3</v>
      </c>
      <c r="Q42" s="9">
        <v>1.5989999999999999E-3</v>
      </c>
      <c r="R42" s="7" t="s">
        <v>45</v>
      </c>
      <c r="S42" s="16"/>
    </row>
    <row r="43" spans="1:19" x14ac:dyDescent="0.25">
      <c r="A43" s="7">
        <v>2130</v>
      </c>
      <c r="B43" s="7">
        <v>2024</v>
      </c>
      <c r="C43" s="7">
        <v>1</v>
      </c>
      <c r="D43" s="7">
        <v>21</v>
      </c>
      <c r="E43" s="7">
        <v>5</v>
      </c>
      <c r="F43" s="9">
        <v>2.137E-3</v>
      </c>
      <c r="G43" s="9">
        <v>2.14E-3</v>
      </c>
      <c r="H43" s="9">
        <v>2.1419999999999998E-3</v>
      </c>
      <c r="I43" s="9">
        <v>2.1440000000000001E-3</v>
      </c>
      <c r="J43" s="9">
        <v>2.1459999999999999E-3</v>
      </c>
      <c r="K43" s="9">
        <v>2.147E-3</v>
      </c>
      <c r="L43" s="9">
        <v>2.1489999999999999E-3</v>
      </c>
      <c r="M43" s="9">
        <v>2.15E-3</v>
      </c>
      <c r="N43" s="9">
        <v>2.1519999999999998E-3</v>
      </c>
      <c r="O43" s="9">
        <v>2.1540000000000001E-3</v>
      </c>
      <c r="P43" s="9">
        <v>2.1570000000000001E-3</v>
      </c>
      <c r="Q43" s="9">
        <v>2.1610000000000002E-3</v>
      </c>
      <c r="R43" s="7" t="s">
        <v>45</v>
      </c>
      <c r="S43" s="16"/>
    </row>
    <row r="44" spans="1:19" x14ac:dyDescent="0.25">
      <c r="A44" s="7">
        <v>2131</v>
      </c>
      <c r="B44" s="7">
        <v>2024</v>
      </c>
      <c r="C44" s="7">
        <v>1</v>
      </c>
      <c r="D44" s="7">
        <v>22</v>
      </c>
      <c r="E44" s="7">
        <v>4</v>
      </c>
      <c r="F44" s="9">
        <v>1.596E-3</v>
      </c>
      <c r="G44" s="9">
        <v>1.598E-3</v>
      </c>
      <c r="H44" s="9">
        <v>1.601E-3</v>
      </c>
      <c r="I44" s="9">
        <v>1.603E-3</v>
      </c>
      <c r="J44" s="9">
        <v>1.6050000000000001E-3</v>
      </c>
      <c r="K44" s="9">
        <v>1.606E-3</v>
      </c>
      <c r="L44" s="9">
        <v>1.6080000000000001E-3</v>
      </c>
      <c r="M44" s="9">
        <v>1.6100000000000001E-3</v>
      </c>
      <c r="N44" s="9">
        <v>1.6119999999999999E-3</v>
      </c>
      <c r="O44" s="9">
        <v>1.614E-3</v>
      </c>
      <c r="P44" s="9">
        <v>1.616E-3</v>
      </c>
      <c r="Q44" s="9">
        <v>1.6180000000000001E-3</v>
      </c>
      <c r="R44" s="7" t="s">
        <v>45</v>
      </c>
      <c r="S44" s="16"/>
    </row>
    <row r="45" spans="1:19" x14ac:dyDescent="0.25">
      <c r="A45" s="7">
        <v>2132</v>
      </c>
      <c r="B45" s="7">
        <v>2024</v>
      </c>
      <c r="C45" s="7">
        <v>1</v>
      </c>
      <c r="D45" s="7">
        <v>23</v>
      </c>
      <c r="E45" s="7">
        <v>3</v>
      </c>
      <c r="F45" s="9">
        <v>5.5000000000000003E-4</v>
      </c>
      <c r="G45" s="9">
        <v>5.5000000000000003E-4</v>
      </c>
      <c r="H45" s="9">
        <v>5.5000000000000003E-4</v>
      </c>
      <c r="I45" s="9">
        <v>5.5000000000000003E-4</v>
      </c>
      <c r="J45" s="9">
        <v>5.5000000000000003E-4</v>
      </c>
      <c r="K45" s="9">
        <v>5.5000000000000003E-4</v>
      </c>
      <c r="L45" s="9">
        <v>5.5000000000000003E-4</v>
      </c>
      <c r="M45" s="9">
        <v>5.5000000000000003E-4</v>
      </c>
      <c r="N45" s="9">
        <v>5.5000000000000003E-4</v>
      </c>
      <c r="O45" s="9">
        <v>5.5000000000000003E-4</v>
      </c>
      <c r="P45" s="9">
        <v>5.5000000000000003E-4</v>
      </c>
      <c r="Q45" s="9">
        <v>5.5000000000000003E-4</v>
      </c>
      <c r="R45" s="7" t="s">
        <v>45</v>
      </c>
      <c r="S45" s="16"/>
    </row>
    <row r="46" spans="1:19" x14ac:dyDescent="0.25">
      <c r="A46">
        <v>2135</v>
      </c>
      <c r="B46">
        <v>2024</v>
      </c>
      <c r="C46" t="s">
        <v>20</v>
      </c>
      <c r="D46" t="s">
        <v>21</v>
      </c>
      <c r="E46" t="s">
        <v>22</v>
      </c>
      <c r="F46" s="1">
        <v>1.047852</v>
      </c>
      <c r="G46" s="1">
        <v>1.07989</v>
      </c>
      <c r="H46" s="1">
        <v>1.0378069999999999</v>
      </c>
      <c r="I46" s="1">
        <v>1.080417</v>
      </c>
      <c r="J46" s="1">
        <v>1.1657470000000001</v>
      </c>
      <c r="K46" s="1">
        <v>1.2638339999999999</v>
      </c>
      <c r="L46" s="1">
        <v>1.524295</v>
      </c>
      <c r="M46" s="1">
        <v>1.6425909999999999</v>
      </c>
      <c r="N46" s="1">
        <v>1.5593669999999999</v>
      </c>
      <c r="O46" s="1">
        <v>1.533147</v>
      </c>
      <c r="P46" s="1">
        <v>1.363504</v>
      </c>
      <c r="Q46" s="1">
        <v>1.3346070000000001</v>
      </c>
      <c r="S46" s="16"/>
    </row>
    <row r="47" spans="1:19" x14ac:dyDescent="0.25">
      <c r="A47">
        <v>2133</v>
      </c>
      <c r="B47">
        <v>2024</v>
      </c>
      <c r="C47" t="s">
        <v>15</v>
      </c>
      <c r="D47" t="s">
        <v>16</v>
      </c>
      <c r="E47" t="s">
        <v>17</v>
      </c>
      <c r="F47" s="1">
        <v>8.3581000000000003E-2</v>
      </c>
      <c r="G47" s="1">
        <v>8.3604999999999999E-2</v>
      </c>
      <c r="H47" s="1">
        <v>8.3627000000000007E-2</v>
      </c>
      <c r="I47" s="1">
        <v>8.3644999999999997E-2</v>
      </c>
      <c r="J47" s="1">
        <v>8.3662E-2</v>
      </c>
      <c r="K47" s="1">
        <v>8.3680000000000004E-2</v>
      </c>
      <c r="L47" s="1">
        <v>8.3707000000000004E-2</v>
      </c>
      <c r="M47" s="1">
        <v>8.3748000000000003E-2</v>
      </c>
      <c r="N47" s="1">
        <v>8.3804000000000003E-2</v>
      </c>
      <c r="O47" s="1">
        <v>8.3880999999999997E-2</v>
      </c>
      <c r="P47" s="1">
        <v>8.3967E-2</v>
      </c>
      <c r="Q47" s="1">
        <v>8.4061999999999998E-2</v>
      </c>
      <c r="S47" s="16"/>
    </row>
    <row r="48" spans="1:19" x14ac:dyDescent="0.25">
      <c r="A48">
        <v>2137</v>
      </c>
      <c r="B48">
        <v>2024</v>
      </c>
      <c r="C48" t="s">
        <v>25</v>
      </c>
      <c r="D48" t="s">
        <v>26</v>
      </c>
      <c r="E48" t="s">
        <v>27</v>
      </c>
      <c r="F48" s="1">
        <v>5.0299999999999997E-3</v>
      </c>
      <c r="G48" s="1">
        <v>5.0520000000000001E-3</v>
      </c>
      <c r="H48" s="1">
        <v>5.0759999999999998E-3</v>
      </c>
      <c r="I48" s="1">
        <v>5.0980000000000001E-3</v>
      </c>
      <c r="J48" s="1">
        <v>5.1219999999999998E-3</v>
      </c>
      <c r="K48" s="1">
        <v>5.1440000000000001E-3</v>
      </c>
      <c r="L48" s="1">
        <v>5.1659999999999996E-3</v>
      </c>
      <c r="M48" s="1">
        <v>5.189E-3</v>
      </c>
      <c r="N48" s="1">
        <v>5.2090000000000001E-3</v>
      </c>
      <c r="O48" s="1">
        <v>5.2310000000000004E-3</v>
      </c>
      <c r="P48" s="1">
        <v>5.2519999999999997E-3</v>
      </c>
      <c r="Q48" s="1">
        <v>5.2729999999999999E-3</v>
      </c>
      <c r="S48" s="16"/>
    </row>
    <row r="49" spans="1:19" x14ac:dyDescent="0.25">
      <c r="A49">
        <v>2134</v>
      </c>
      <c r="B49">
        <v>2024</v>
      </c>
      <c r="C49" t="s">
        <v>18</v>
      </c>
      <c r="D49" t="s">
        <v>19</v>
      </c>
      <c r="E49" t="s">
        <v>17</v>
      </c>
      <c r="F49" s="1">
        <v>2.8195000000000001E-2</v>
      </c>
      <c r="G49" s="1">
        <v>2.8257000000000001E-2</v>
      </c>
      <c r="H49" s="1">
        <v>2.8320999999999999E-2</v>
      </c>
      <c r="I49" s="1">
        <v>2.8381E-2</v>
      </c>
      <c r="J49" s="1">
        <v>2.844E-2</v>
      </c>
      <c r="K49" s="1">
        <v>2.8496E-2</v>
      </c>
      <c r="L49" s="1">
        <v>2.8552000000000001E-2</v>
      </c>
      <c r="M49" s="1">
        <v>2.8607E-2</v>
      </c>
      <c r="N49" s="1">
        <v>2.8662E-2</v>
      </c>
      <c r="O49" s="1">
        <v>2.8719999999999999E-2</v>
      </c>
      <c r="P49" s="1">
        <v>2.878E-2</v>
      </c>
      <c r="Q49" s="1">
        <v>2.8846E-2</v>
      </c>
      <c r="S49" s="16"/>
    </row>
    <row r="50" spans="1:19" x14ac:dyDescent="0.25">
      <c r="A50">
        <v>2136</v>
      </c>
      <c r="B50">
        <v>2024</v>
      </c>
      <c r="C50" t="s">
        <v>20</v>
      </c>
      <c r="D50" t="s">
        <v>23</v>
      </c>
      <c r="E50" t="s">
        <v>24</v>
      </c>
      <c r="F50" s="1">
        <v>1.1596280000000001</v>
      </c>
      <c r="G50" s="1">
        <v>1.1917519999999999</v>
      </c>
      <c r="H50" s="1">
        <v>1.1497550000000001</v>
      </c>
      <c r="I50" s="1">
        <v>1.192442</v>
      </c>
      <c r="J50" s="1">
        <v>1.277849</v>
      </c>
      <c r="K50" s="1">
        <v>1.37601</v>
      </c>
      <c r="L50" s="1">
        <v>1.6365529999999999</v>
      </c>
      <c r="M50" s="1">
        <v>1.7549459999999999</v>
      </c>
      <c r="N50" s="1">
        <v>1.6718329999999999</v>
      </c>
      <c r="O50" s="1">
        <v>1.645748</v>
      </c>
      <c r="P50" s="1">
        <v>1.476251</v>
      </c>
      <c r="Q50" s="1">
        <v>1.4475150000000001</v>
      </c>
      <c r="S50" s="16"/>
    </row>
    <row r="51" spans="1:19" x14ac:dyDescent="0.25">
      <c r="F51" t="s">
        <v>0</v>
      </c>
      <c r="G51" t="s">
        <v>1</v>
      </c>
      <c r="H51" t="s">
        <v>2</v>
      </c>
      <c r="I51" t="s">
        <v>3</v>
      </c>
      <c r="J51" t="s">
        <v>4</v>
      </c>
      <c r="K51" t="s">
        <v>5</v>
      </c>
      <c r="L51" t="s">
        <v>6</v>
      </c>
      <c r="M51" t="s">
        <v>7</v>
      </c>
      <c r="N51" t="s">
        <v>8</v>
      </c>
      <c r="O51" t="s">
        <v>9</v>
      </c>
      <c r="P51" t="s">
        <v>10</v>
      </c>
      <c r="Q51" t="s">
        <v>11</v>
      </c>
      <c r="S51" s="16"/>
    </row>
    <row r="52" spans="1:19" x14ac:dyDescent="0.25">
      <c r="E52" t="s">
        <v>46</v>
      </c>
      <c r="F52">
        <v>31</v>
      </c>
      <c r="G52">
        <v>28</v>
      </c>
      <c r="H52">
        <v>31</v>
      </c>
      <c r="I52">
        <v>30</v>
      </c>
      <c r="J52">
        <v>31</v>
      </c>
      <c r="K52">
        <v>30</v>
      </c>
      <c r="L52">
        <v>31</v>
      </c>
      <c r="M52">
        <v>31</v>
      </c>
      <c r="N52">
        <v>30</v>
      </c>
      <c r="O52">
        <v>31</v>
      </c>
      <c r="P52">
        <v>30</v>
      </c>
      <c r="Q52">
        <v>31</v>
      </c>
      <c r="S52" s="16"/>
    </row>
    <row r="53" spans="1:19" x14ac:dyDescent="0.25">
      <c r="C53" t="s">
        <v>47</v>
      </c>
      <c r="F53" s="1">
        <f t="shared" ref="F53:Q53" si="0">SUM(F20:F29)</f>
        <v>0.14031500000000002</v>
      </c>
      <c r="G53" s="1">
        <f t="shared" si="0"/>
        <v>0.14002500000000001</v>
      </c>
      <c r="H53" s="1">
        <f t="shared" si="0"/>
        <v>0.139714</v>
      </c>
      <c r="I53" s="1">
        <f t="shared" si="0"/>
        <v>0.13944099999999998</v>
      </c>
      <c r="J53" s="1">
        <f t="shared" si="0"/>
        <v>0.13924</v>
      </c>
      <c r="K53" s="1">
        <f t="shared" si="0"/>
        <v>0.13918</v>
      </c>
      <c r="L53" s="1">
        <f t="shared" si="0"/>
        <v>0.13935800000000001</v>
      </c>
      <c r="M53" s="1">
        <f t="shared" si="0"/>
        <v>0.13980700000000001</v>
      </c>
      <c r="N53" s="1">
        <f t="shared" si="0"/>
        <v>0.14035300000000001</v>
      </c>
      <c r="O53" s="1">
        <f t="shared" si="0"/>
        <v>0.14091199999999998</v>
      </c>
      <c r="P53" s="1">
        <f t="shared" si="0"/>
        <v>0.14130500000000001</v>
      </c>
      <c r="Q53" s="1">
        <f t="shared" si="0"/>
        <v>0.14152100000000001</v>
      </c>
      <c r="S53" s="16"/>
    </row>
    <row r="54" spans="1:19" ht="15.75" thickBot="1" x14ac:dyDescent="0.3">
      <c r="C54" t="s">
        <v>48</v>
      </c>
      <c r="F54" s="1">
        <f t="shared" ref="F54:Q54" si="1">SUM(F30:F45)</f>
        <v>0.90753700000000015</v>
      </c>
      <c r="G54" s="1">
        <f t="shared" si="1"/>
        <v>0.93986600000000009</v>
      </c>
      <c r="H54" s="1">
        <f t="shared" si="1"/>
        <v>0.89809400000000006</v>
      </c>
      <c r="I54" s="1">
        <f t="shared" si="1"/>
        <v>0.9409780000000002</v>
      </c>
      <c r="J54" s="1">
        <f t="shared" si="1"/>
        <v>1.0265070000000001</v>
      </c>
      <c r="K54" s="1">
        <f t="shared" si="1"/>
        <v>1.1246539999999998</v>
      </c>
      <c r="L54" s="1">
        <f t="shared" si="1"/>
        <v>1.3849350000000002</v>
      </c>
      <c r="M54" s="1">
        <f t="shared" si="1"/>
        <v>1.5027840000000003</v>
      </c>
      <c r="N54" s="1">
        <f t="shared" si="1"/>
        <v>1.4190140000000002</v>
      </c>
      <c r="O54" s="1">
        <f t="shared" si="1"/>
        <v>1.392236</v>
      </c>
      <c r="P54" s="1">
        <f t="shared" si="1"/>
        <v>1.2221980000000001</v>
      </c>
      <c r="Q54" s="1">
        <f t="shared" si="1"/>
        <v>1.1930859999999999</v>
      </c>
      <c r="S54" s="16"/>
    </row>
    <row r="55" spans="1:19" ht="15.75" thickBot="1" x14ac:dyDescent="0.3">
      <c r="C55" s="10"/>
      <c r="D55" s="10"/>
      <c r="E55" s="5"/>
      <c r="F55" s="4" t="s">
        <v>29</v>
      </c>
      <c r="G55" s="4" t="s">
        <v>30</v>
      </c>
      <c r="H55" s="4" t="s">
        <v>31</v>
      </c>
      <c r="I55" s="4" t="s">
        <v>32</v>
      </c>
      <c r="J55" s="4" t="s">
        <v>33</v>
      </c>
      <c r="K55" s="4" t="s">
        <v>34</v>
      </c>
      <c r="L55" s="4" t="s">
        <v>35</v>
      </c>
      <c r="M55" s="4" t="s">
        <v>36</v>
      </c>
      <c r="N55" s="4" t="s">
        <v>37</v>
      </c>
      <c r="O55" s="4" t="s">
        <v>38</v>
      </c>
      <c r="P55" s="4" t="s">
        <v>39</v>
      </c>
      <c r="Q55" s="4" t="s">
        <v>40</v>
      </c>
      <c r="R55" s="4" t="s">
        <v>42</v>
      </c>
      <c r="S55" s="16"/>
    </row>
    <row r="56" spans="1:19" x14ac:dyDescent="0.25">
      <c r="C56" s="10" t="s">
        <v>47</v>
      </c>
      <c r="D56" s="10"/>
      <c r="E56" s="12" t="s">
        <v>52</v>
      </c>
      <c r="F56" s="2">
        <f t="shared" ref="F56:Q56" si="2">F53*60*60*24*F$52/43560</f>
        <v>8.6276330578512397</v>
      </c>
      <c r="G56" s="2">
        <f t="shared" si="2"/>
        <v>7.7765950413223139</v>
      </c>
      <c r="H56" s="2">
        <f t="shared" si="2"/>
        <v>8.5906790082644626</v>
      </c>
      <c r="I56" s="2">
        <f t="shared" si="2"/>
        <v>8.2973157024793363</v>
      </c>
      <c r="J56" s="2">
        <f t="shared" si="2"/>
        <v>8.5615338842975195</v>
      </c>
      <c r="K56" s="2">
        <f t="shared" si="2"/>
        <v>8.2817851239669427</v>
      </c>
      <c r="L56" s="2">
        <f t="shared" si="2"/>
        <v>8.5687894214876028</v>
      </c>
      <c r="M56" s="2">
        <f t="shared" si="2"/>
        <v>8.5963973553719004</v>
      </c>
      <c r="N56" s="2">
        <f t="shared" si="2"/>
        <v>8.351583471074381</v>
      </c>
      <c r="O56" s="2">
        <f t="shared" si="2"/>
        <v>8.6643411570247917</v>
      </c>
      <c r="P56" s="2">
        <f t="shared" si="2"/>
        <v>8.408231404958677</v>
      </c>
      <c r="Q56" s="2">
        <f t="shared" si="2"/>
        <v>8.7017871074380171</v>
      </c>
      <c r="R56" s="14">
        <f>SUM(F56:Q56)</f>
        <v>101.4266717355372</v>
      </c>
      <c r="S56" s="16"/>
    </row>
    <row r="57" spans="1:19" ht="15.75" thickBot="1" x14ac:dyDescent="0.3">
      <c r="C57" s="10" t="s">
        <v>48</v>
      </c>
      <c r="D57" s="10"/>
      <c r="E57" s="13" t="s">
        <v>53</v>
      </c>
      <c r="F57" s="3">
        <f t="shared" ref="F57:Q57" si="3">F54*60*60*24*F$52/43560</f>
        <v>55.802275041322325</v>
      </c>
      <c r="G57" s="3">
        <f t="shared" si="3"/>
        <v>52.197516694214883</v>
      </c>
      <c r="H57" s="3">
        <f t="shared" si="3"/>
        <v>55.221647603305797</v>
      </c>
      <c r="I57" s="3">
        <f t="shared" si="3"/>
        <v>55.992079338842991</v>
      </c>
      <c r="J57" s="3">
        <f t="shared" si="3"/>
        <v>63.117455206611574</v>
      </c>
      <c r="K57" s="3">
        <f t="shared" si="3"/>
        <v>66.921560330578501</v>
      </c>
      <c r="L57" s="3">
        <f t="shared" si="3"/>
        <v>85.156333884297538</v>
      </c>
      <c r="M57" s="3">
        <f t="shared" si="3"/>
        <v>92.402586446281006</v>
      </c>
      <c r="N57" s="3">
        <f t="shared" si="3"/>
        <v>84.437196694214876</v>
      </c>
      <c r="O57" s="3">
        <f t="shared" si="3"/>
        <v>85.605254876033058</v>
      </c>
      <c r="P57" s="3">
        <f t="shared" si="3"/>
        <v>72.725831404958683</v>
      </c>
      <c r="Q57" s="3">
        <f t="shared" si="3"/>
        <v>73.359998677685923</v>
      </c>
      <c r="R57" s="15">
        <f>SUM(F57:Q57)</f>
        <v>842.93973619834708</v>
      </c>
      <c r="S57" s="16"/>
    </row>
    <row r="58" spans="1:19" x14ac:dyDescent="0.25">
      <c r="C58" t="s">
        <v>49</v>
      </c>
      <c r="E58" s="11"/>
      <c r="F58" s="1">
        <f t="shared" ref="F58:Q58" si="4">SUM(F56:F57)</f>
        <v>64.429908099173559</v>
      </c>
      <c r="G58" s="1">
        <f t="shared" si="4"/>
        <v>59.9741117355372</v>
      </c>
      <c r="H58" s="1">
        <f t="shared" si="4"/>
        <v>63.812326611570256</v>
      </c>
      <c r="I58" s="1">
        <f t="shared" si="4"/>
        <v>64.289395041322322</v>
      </c>
      <c r="J58" s="1">
        <f t="shared" si="4"/>
        <v>71.678989090909099</v>
      </c>
      <c r="K58" s="1">
        <f t="shared" si="4"/>
        <v>75.203345454545442</v>
      </c>
      <c r="L58" s="1">
        <f t="shared" si="4"/>
        <v>93.725123305785146</v>
      </c>
      <c r="M58" s="1">
        <f t="shared" si="4"/>
        <v>100.99898380165291</v>
      </c>
      <c r="N58" s="1">
        <f t="shared" si="4"/>
        <v>92.788780165289253</v>
      </c>
      <c r="O58" s="1">
        <f t="shared" si="4"/>
        <v>94.269596033057852</v>
      </c>
      <c r="P58" s="1">
        <f t="shared" si="4"/>
        <v>81.134062809917367</v>
      </c>
      <c r="Q58" s="1">
        <f t="shared" si="4"/>
        <v>82.061785785123945</v>
      </c>
      <c r="R58" t="s">
        <v>50</v>
      </c>
      <c r="S58" s="16"/>
    </row>
    <row r="59" spans="1:19" x14ac:dyDescent="0.25">
      <c r="C59" t="s">
        <v>51</v>
      </c>
      <c r="E59" s="11"/>
      <c r="F59" s="1">
        <f t="shared" ref="F59:Q59" si="5">F46*60*60*24*F$52/43560</f>
        <v>64.429908099173545</v>
      </c>
      <c r="G59" s="1">
        <f t="shared" si="5"/>
        <v>59.974056198347114</v>
      </c>
      <c r="H59" s="1">
        <f t="shared" si="5"/>
        <v>63.812265123966938</v>
      </c>
      <c r="I59" s="1">
        <f t="shared" si="5"/>
        <v>64.28927603305786</v>
      </c>
      <c r="J59" s="1">
        <f t="shared" si="5"/>
        <v>71.678989090909099</v>
      </c>
      <c r="K59" s="1">
        <f t="shared" si="5"/>
        <v>75.203345454545442</v>
      </c>
      <c r="L59" s="1">
        <f t="shared" si="5"/>
        <v>93.725246280991755</v>
      </c>
      <c r="M59" s="1">
        <f t="shared" si="5"/>
        <v>100.99898380165288</v>
      </c>
      <c r="N59" s="1">
        <f t="shared" si="5"/>
        <v>92.788780165289239</v>
      </c>
      <c r="O59" s="1">
        <f t="shared" si="5"/>
        <v>94.269534545454547</v>
      </c>
      <c r="P59" s="1">
        <f t="shared" si="5"/>
        <v>81.134122314049591</v>
      </c>
      <c r="Q59" s="1">
        <f t="shared" si="5"/>
        <v>82.061785785123973</v>
      </c>
      <c r="R59" t="s">
        <v>50</v>
      </c>
      <c r="S59" s="16"/>
    </row>
    <row r="60" spans="1:19" ht="135.75" thickBot="1" x14ac:dyDescent="0.3">
      <c r="C60" s="19" t="s">
        <v>55</v>
      </c>
      <c r="F60" s="1">
        <f>F32*60*60*24*F$52/43560</f>
        <v>24.63008925619835</v>
      </c>
      <c r="G60" s="1">
        <f t="shared" ref="G60:Q60" si="6">G32*60*60*24*G$52/43560</f>
        <v>24.192444297520662</v>
      </c>
      <c r="H60" s="1">
        <f t="shared" si="6"/>
        <v>24.42564297520661</v>
      </c>
      <c r="I60" s="1">
        <f t="shared" si="6"/>
        <v>26.315107438016529</v>
      </c>
      <c r="J60" s="1">
        <f t="shared" si="6"/>
        <v>32.443134545454548</v>
      </c>
      <c r="K60" s="1">
        <f t="shared" si="6"/>
        <v>36.970750413223143</v>
      </c>
      <c r="L60" s="1">
        <f t="shared" si="6"/>
        <v>53.608520330578514</v>
      </c>
      <c r="M60" s="1">
        <f t="shared" si="6"/>
        <v>60.165865785123962</v>
      </c>
      <c r="N60" s="1">
        <f t="shared" si="6"/>
        <v>52.846809917355372</v>
      </c>
      <c r="O60" s="1">
        <f t="shared" si="6"/>
        <v>52.702377520661166</v>
      </c>
      <c r="P60" s="1">
        <f t="shared" si="6"/>
        <v>40.925216528925624</v>
      </c>
      <c r="Q60" s="1">
        <f t="shared" si="6"/>
        <v>40.665748760330573</v>
      </c>
      <c r="R60" s="15">
        <f>SUM(F60:Q60)</f>
        <v>469.89170776859504</v>
      </c>
    </row>
  </sheetData>
  <pageMargins left="0.7" right="0.7" top="0.75" bottom="0.75" header="0.3" footer="0.3"/>
  <ignoredErrors>
    <ignoredError sqref="F54:Q54 G53:Q53" formulaRange="1"/>
  </ignoredErrors>
</worksheet>
</file>

<file path=docMetadata/LabelInfo.xml><?xml version="1.0" encoding="utf-8"?>
<clbl:labelList xmlns:clbl="http://schemas.microsoft.com/office/2020/mipLabelMetadata">
  <clbl:label id="{04aa6bf4-d436-426f-bfa4-04b7a70e60ff}" enabled="0" method="" siteId="{04aa6bf4-d436-426f-bfa4-04b7a70e60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4 - Rio Grande, Otowi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Wolaver, Brad, OSE</dc:creator>
  <cp:lastModifiedBy>Wolaver, Brad, OSE</cp:lastModifiedBy>
  <dcterms:created xsi:type="dcterms:W3CDTF">2025-04-21T17:22:55Z</dcterms:created>
  <dcterms:modified xsi:type="dcterms:W3CDTF">2026-02-03T22:17:43Z</dcterms:modified>
</cp:coreProperties>
</file>