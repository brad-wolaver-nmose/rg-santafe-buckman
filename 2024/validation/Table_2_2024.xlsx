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brad_wolaver_ose_nm_gov/Documents/Documents/_Projects/_APPs/RG/City_Santa_Fe/Buckman/Reporting/2024 Depletion Memo/TABLES/"/>
    </mc:Choice>
  </mc:AlternateContent>
  <xr:revisionPtr revIDLastSave="58" documentId="8_{C7FF6927-192B-4B82-8A60-42C77DCB84D7}" xr6:coauthVersionLast="47" xr6:coauthVersionMax="47" xr10:uidLastSave="{A2833CF3-FBCE-48D0-84D5-E2480A5D802E}"/>
  <bookViews>
    <workbookView xWindow="-120" yWindow="-120" windowWidth="29040" windowHeight="17520" xr2:uid="{0F8CB352-0E39-456B-B6A9-C06D7148B2FD}"/>
  </bookViews>
  <sheets>
    <sheet name="Table_2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" l="1"/>
  <c r="T15" i="1"/>
  <c r="R15" i="1"/>
  <c r="Q15" i="1"/>
  <c r="M15" i="1"/>
  <c r="L15" i="1"/>
  <c r="K15" i="1"/>
  <c r="J15" i="1"/>
  <c r="I15" i="1"/>
  <c r="H15" i="1"/>
  <c r="G15" i="1"/>
  <c r="F15" i="1"/>
  <c r="E15" i="1"/>
  <c r="D15" i="1"/>
  <c r="C15" i="1"/>
  <c r="B15" i="1"/>
  <c r="N15" i="1" s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<sst xmlns="http://schemas.openxmlformats.org/spreadsheetml/2006/main" count="20" uniqueCount="17">
  <si>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</si>
  <si>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</si>
  <si>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</si>
  <si>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</si>
  <si>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</si>
  <si>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</si>
  <si>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</si>
  <si>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</si>
  <si>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</si>
  <si>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</si>
  <si>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</si>
  <si>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</si>
  <si>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Well</t>
  </si>
  <si>
    <t>Total</t>
  </si>
  <si>
    <t>wells 10-13</t>
  </si>
  <si>
    <t>% total</t>
  </si>
  <si>
    <t>wells 1, 7,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</si>
</sst>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  <xf numFmtId="4" fontId="0" fillId="0" borderId="0" xfId="0" applyNumberFormat="1"/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  <xf numFmtId="4" fontId="0" fillId="33" borderId="0" xfId="0" applyNumberFormat="1" applyFill="1"/>
    <xf numFmtId="0" fontId="16" fillId="33" borderId="11" xfId="0" applyFont="1" applyFill="1" applyBorder="1" applyAlignment="1">
      <alignment horizontal="center"/>
    </xf>
    <xf numFmtId="4" fontId="0" fillId="33" borderId="11" xfId="0" applyNumberFormat="1" applyFill="1" applyBorder="1"/>
    <xf numFmtId="0" fontId="16" fillId="33" borderId="12" xfId="0" applyFont="1" applyFill="1" applyBorder="1" applyAlignment="1">
      <alignment horizontal="center"/>
    </xf>
    <xf numFmtId="4" fontId="0" fillId="33" borderId="12" xfId="0" applyNumberFormat="1" applyFill="1" applyBorder="1"/>
    <xf numFmtId="0" fontId="16" fillId="33" borderId="13" xfId="0" applyFont="1" applyFill="1" applyBorder="1" applyAlignment="1">
      <alignment horizontal="center"/>
    </xf>
    <xf numFmtId="4" fontId="0" fillId="33" borderId="13" xfId="0" applyNumberFormat="1" applyFill="1" applyBorder="1"/>
    <xf numFmtId="4" fontId="0" fillId="33" borderId="10" xfId="0" applyNumberFormat="1" applyFill="1" applyBorder="1"/>
    <xf numFmtId="0" fontId="16" fillId="34" borderId="12" xfId="0" applyFont="1" applyFill="1" applyBorder="1" applyAlignment="1">
      <alignment horizontal="center"/>
    </xf>
    <xf numFmtId="4" fontId="0" fillId="34" borderId="12" xfId="0" applyNumberFormat="1" applyFill="1" applyBorder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0629-C2C9-4413-BDF6-194ED6FFCC98}">
  <dimension ref="A1:T17"/>
  <sheetViews>
    <sheetView tabSelected="1" workbookViewId="0">
      <selection activeCell="R15" activeCellId="1" sqref="T15 R15"/>
    </sheetView>
  </sheetViews>
  <sheetFormatPr defaultRowHeight="15" x14ac:dyDescent="0.25"/>
  <cols>
    <col min="1" max="1" width="14.75" style="1" customWidth="1"/>
    <col min="15" max="15" width="14.75" style="1" customWidth="1"/>
    <col min="17" max="17" width="10.125" bestFit="1" customWidth="1"/>
    <col min="18" max="18" width="11.875" bestFit="1" customWidth="1"/>
    <col min="19" max="19" width="10.25" bestFit="1" customWidth="1"/>
  </cols>
  <sheetData>
    <row r="1" spans="1:20" s="2" customFormat="1" ht="15.75" thickBot="1" x14ac:dyDescent="0.3">
      <c r="A1" s="4" t="s">
        <v>12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13</v>
      </c>
      <c r="O1" s="4" t="s">
        <v>12</v>
      </c>
    </row>
    <row r="2" spans="1:20" x14ac:dyDescent="0.25">
      <c r="A2" s="5">
        <v>1</v>
      </c>
      <c r="B2" s="6">
        <v>16.89</v>
      </c>
      <c r="C2" s="6">
        <v>38.81</v>
      </c>
      <c r="D2" s="6">
        <v>10.88</v>
      </c>
      <c r="E2" s="6">
        <v>40.700000000000003</v>
      </c>
      <c r="F2" s="6">
        <v>41.5</v>
      </c>
      <c r="G2" s="6">
        <v>68.45</v>
      </c>
      <c r="H2" s="6">
        <v>162.49</v>
      </c>
      <c r="I2" s="6">
        <v>124.37</v>
      </c>
      <c r="J2" s="6">
        <v>45.14</v>
      </c>
      <c r="K2" s="6">
        <v>52.05</v>
      </c>
      <c r="L2" s="6">
        <v>0</v>
      </c>
      <c r="M2" s="6">
        <v>0</v>
      </c>
      <c r="N2" s="6">
        <f>SUM(B2:M2)</f>
        <v>601.28</v>
      </c>
      <c r="O2" s="5">
        <v>1</v>
      </c>
    </row>
    <row r="3" spans="1:20" x14ac:dyDescent="0.25">
      <c r="A3" s="7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0.01</v>
      </c>
      <c r="L3" s="8">
        <v>0</v>
      </c>
      <c r="M3" s="8">
        <v>0</v>
      </c>
      <c r="N3" s="8">
        <f t="shared" ref="N3:N14" si="0">SUM(B3:M3)</f>
        <v>0.01</v>
      </c>
      <c r="O3" s="7">
        <v>2</v>
      </c>
    </row>
    <row r="4" spans="1:20" x14ac:dyDescent="0.25">
      <c r="A4" s="14">
        <v>3</v>
      </c>
      <c r="B4" s="15">
        <v>0</v>
      </c>
      <c r="C4" s="15">
        <v>7.0000000000000007E-2</v>
      </c>
      <c r="D4" s="15">
        <v>0.06</v>
      </c>
      <c r="E4" s="15">
        <v>7.0000000000000007E-2</v>
      </c>
      <c r="F4" s="15">
        <v>0.38</v>
      </c>
      <c r="G4" s="15">
        <v>23.11</v>
      </c>
      <c r="H4" s="15">
        <v>0.79</v>
      </c>
      <c r="I4" s="15">
        <v>8.5399999999999991</v>
      </c>
      <c r="J4" s="15">
        <v>0.05</v>
      </c>
      <c r="K4" s="15">
        <v>6.38</v>
      </c>
      <c r="L4" s="15">
        <v>16.73</v>
      </c>
      <c r="M4" s="15">
        <v>0.05</v>
      </c>
      <c r="N4" s="15">
        <f t="shared" si="0"/>
        <v>56.22999999999999</v>
      </c>
      <c r="O4" s="14">
        <v>3</v>
      </c>
    </row>
    <row r="5" spans="1:20" x14ac:dyDescent="0.25">
      <c r="A5" s="9">
        <v>4</v>
      </c>
      <c r="B5" s="10">
        <v>0</v>
      </c>
      <c r="C5" s="10">
        <v>0.01</v>
      </c>
      <c r="D5" s="10">
        <v>0.17</v>
      </c>
      <c r="E5" s="10">
        <v>0.08</v>
      </c>
      <c r="F5" s="10">
        <v>0.09</v>
      </c>
      <c r="G5" s="10">
        <v>24.47</v>
      </c>
      <c r="H5" s="10">
        <v>20.16</v>
      </c>
      <c r="I5" s="10">
        <v>8.25</v>
      </c>
      <c r="J5" s="10">
        <v>3.22</v>
      </c>
      <c r="K5" s="10">
        <v>6.9</v>
      </c>
      <c r="L5" s="10">
        <v>0</v>
      </c>
      <c r="M5" s="10">
        <v>0</v>
      </c>
      <c r="N5" s="10">
        <f t="shared" si="0"/>
        <v>63.35</v>
      </c>
      <c r="O5" s="9">
        <v>4</v>
      </c>
    </row>
    <row r="6" spans="1:20" x14ac:dyDescent="0.25">
      <c r="A6" s="9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f t="shared" si="0"/>
        <v>0</v>
      </c>
      <c r="O6" s="9">
        <v>5</v>
      </c>
    </row>
    <row r="7" spans="1:20" x14ac:dyDescent="0.25">
      <c r="A7" s="9">
        <v>6</v>
      </c>
      <c r="B7" s="10">
        <v>0.15</v>
      </c>
      <c r="C7" s="10">
        <v>0.2</v>
      </c>
      <c r="D7" s="10">
        <v>0.97</v>
      </c>
      <c r="E7" s="10">
        <v>0</v>
      </c>
      <c r="F7" s="10">
        <v>19.53</v>
      </c>
      <c r="G7" s="10">
        <v>5.61</v>
      </c>
      <c r="H7" s="10">
        <v>0.13</v>
      </c>
      <c r="I7" s="10">
        <v>72.099999999999994</v>
      </c>
      <c r="J7" s="10">
        <v>40.44</v>
      </c>
      <c r="K7" s="10">
        <v>13.09</v>
      </c>
      <c r="L7" s="10">
        <v>0</v>
      </c>
      <c r="M7" s="10">
        <v>0</v>
      </c>
      <c r="N7" s="10">
        <f t="shared" si="0"/>
        <v>152.22</v>
      </c>
      <c r="O7" s="9">
        <v>6</v>
      </c>
    </row>
    <row r="8" spans="1:20" x14ac:dyDescent="0.25">
      <c r="A8" s="9">
        <v>7</v>
      </c>
      <c r="B8" s="10">
        <v>0.08</v>
      </c>
      <c r="C8" s="10">
        <v>0.11</v>
      </c>
      <c r="D8" s="10">
        <v>7.0000000000000007E-2</v>
      </c>
      <c r="E8" s="10">
        <v>0.74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f t="shared" si="0"/>
        <v>1</v>
      </c>
      <c r="O8" s="9">
        <v>7</v>
      </c>
    </row>
    <row r="9" spans="1:20" x14ac:dyDescent="0.25">
      <c r="A9" s="9">
        <v>8</v>
      </c>
      <c r="B9" s="10">
        <v>2.1</v>
      </c>
      <c r="C9" s="10">
        <v>0.05</v>
      </c>
      <c r="D9" s="10">
        <v>0.87</v>
      </c>
      <c r="E9" s="10">
        <v>2.85</v>
      </c>
      <c r="F9" s="10">
        <v>26.93</v>
      </c>
      <c r="G9" s="10">
        <v>11.13</v>
      </c>
      <c r="H9" s="10">
        <v>0.08</v>
      </c>
      <c r="I9" s="10">
        <v>1.74</v>
      </c>
      <c r="J9" s="10">
        <v>2.63</v>
      </c>
      <c r="K9" s="10">
        <v>15.59</v>
      </c>
      <c r="L9" s="10">
        <v>0</v>
      </c>
      <c r="M9" s="10">
        <v>47.5</v>
      </c>
      <c r="N9" s="10">
        <f t="shared" si="0"/>
        <v>111.47</v>
      </c>
      <c r="O9" s="9">
        <v>8</v>
      </c>
    </row>
    <row r="10" spans="1:20" x14ac:dyDescent="0.25">
      <c r="A10" s="9">
        <v>9</v>
      </c>
      <c r="B10" s="10">
        <v>7.0000000000000007E-2</v>
      </c>
      <c r="C10" s="10">
        <v>0.06</v>
      </c>
      <c r="D10" s="10">
        <v>0.06</v>
      </c>
      <c r="E10" s="10">
        <v>0.05</v>
      </c>
      <c r="F10" s="10">
        <v>0.05</v>
      </c>
      <c r="G10" s="10">
        <v>0.05</v>
      </c>
      <c r="H10" s="10">
        <v>0.08</v>
      </c>
      <c r="I10" s="10">
        <v>0.06</v>
      </c>
      <c r="J10" s="10">
        <v>0.05</v>
      </c>
      <c r="K10" s="10">
        <v>0</v>
      </c>
      <c r="L10" s="10">
        <v>0</v>
      </c>
      <c r="M10" s="10">
        <v>0</v>
      </c>
      <c r="N10" s="10">
        <f t="shared" si="0"/>
        <v>0.53</v>
      </c>
      <c r="O10" s="9">
        <v>9</v>
      </c>
    </row>
    <row r="11" spans="1:20" x14ac:dyDescent="0.25">
      <c r="A11" s="9">
        <v>10</v>
      </c>
      <c r="B11" s="10">
        <v>0.1</v>
      </c>
      <c r="C11" s="10">
        <v>0.08</v>
      </c>
      <c r="D11" s="10">
        <v>0</v>
      </c>
      <c r="E11" s="10">
        <v>0</v>
      </c>
      <c r="F11" s="10">
        <v>0.18</v>
      </c>
      <c r="G11" s="10">
        <v>7.0000000000000007E-2</v>
      </c>
      <c r="H11" s="10">
        <v>60.27</v>
      </c>
      <c r="I11" s="10">
        <v>44.22</v>
      </c>
      <c r="J11" s="10">
        <v>24.09</v>
      </c>
      <c r="K11" s="10">
        <v>10.08</v>
      </c>
      <c r="L11" s="10">
        <v>0.08</v>
      </c>
      <c r="M11" s="10">
        <v>12.24</v>
      </c>
      <c r="N11" s="10">
        <f t="shared" si="0"/>
        <v>151.41000000000003</v>
      </c>
      <c r="O11" s="9">
        <v>10</v>
      </c>
    </row>
    <row r="12" spans="1:20" x14ac:dyDescent="0.25">
      <c r="A12" s="9">
        <v>11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0.06</v>
      </c>
      <c r="H12" s="10">
        <v>0.06</v>
      </c>
      <c r="I12" s="10">
        <v>0.05</v>
      </c>
      <c r="J12" s="10">
        <v>7.3</v>
      </c>
      <c r="K12" s="10">
        <v>0</v>
      </c>
      <c r="L12" s="10">
        <v>3.61</v>
      </c>
      <c r="M12" s="10">
        <v>2.5499999999999998</v>
      </c>
      <c r="N12" s="10">
        <f t="shared" si="0"/>
        <v>13.629999999999999</v>
      </c>
      <c r="O12" s="9">
        <v>11</v>
      </c>
    </row>
    <row r="13" spans="1:20" x14ac:dyDescent="0.25">
      <c r="A13" s="11">
        <v>12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0.08</v>
      </c>
      <c r="H13" s="12">
        <v>0</v>
      </c>
      <c r="I13" s="12">
        <v>5.1100000000000003</v>
      </c>
      <c r="J13" s="12">
        <v>3.03</v>
      </c>
      <c r="K13" s="12">
        <v>0.2</v>
      </c>
      <c r="L13" s="12">
        <v>0.08</v>
      </c>
      <c r="M13" s="12">
        <v>1.3</v>
      </c>
      <c r="N13" s="12">
        <f t="shared" si="0"/>
        <v>9.8000000000000007</v>
      </c>
      <c r="O13" s="11">
        <v>12</v>
      </c>
    </row>
    <row r="14" spans="1:20" ht="15.75" thickBot="1" x14ac:dyDescent="0.3">
      <c r="A14" s="5">
        <v>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34.99</v>
      </c>
      <c r="H14" s="6">
        <v>58</v>
      </c>
      <c r="I14" s="6">
        <v>69.510000000000005</v>
      </c>
      <c r="J14" s="6">
        <v>15.65</v>
      </c>
      <c r="K14" s="6">
        <v>31.54</v>
      </c>
      <c r="L14" s="6">
        <v>0.28999999999999998</v>
      </c>
      <c r="M14" s="6">
        <v>2.04</v>
      </c>
      <c r="N14" s="6">
        <f t="shared" si="0"/>
        <v>212.01999999999998</v>
      </c>
      <c r="O14" s="5">
        <v>13</v>
      </c>
      <c r="Q14" t="s">
        <v>14</v>
      </c>
      <c r="R14" t="s">
        <v>15</v>
      </c>
      <c r="S14" t="s">
        <v>16</v>
      </c>
    </row>
    <row r="15" spans="1:20" ht="15.75" thickBot="1" x14ac:dyDescent="0.3">
      <c r="A15" s="4" t="s">
        <v>13</v>
      </c>
      <c r="B15" s="13">
        <f>SUM(B2:B14)</f>
        <v>19.39</v>
      </c>
      <c r="C15" s="13">
        <f t="shared" ref="C15:M15" si="1">SUM(C2:C14)</f>
        <v>39.39</v>
      </c>
      <c r="D15" s="13">
        <f t="shared" si="1"/>
        <v>13.080000000000002</v>
      </c>
      <c r="E15" s="13">
        <f t="shared" si="1"/>
        <v>44.49</v>
      </c>
      <c r="F15" s="13">
        <f t="shared" si="1"/>
        <v>88.660000000000011</v>
      </c>
      <c r="G15" s="13">
        <f t="shared" si="1"/>
        <v>168.02000000000004</v>
      </c>
      <c r="H15" s="13">
        <f t="shared" si="1"/>
        <v>302.06000000000006</v>
      </c>
      <c r="I15" s="13">
        <f t="shared" si="1"/>
        <v>333.95</v>
      </c>
      <c r="J15" s="13">
        <f t="shared" si="1"/>
        <v>141.6</v>
      </c>
      <c r="K15" s="13">
        <f t="shared" si="1"/>
        <v>135.84</v>
      </c>
      <c r="L15" s="13">
        <f t="shared" si="1"/>
        <v>20.789999999999996</v>
      </c>
      <c r="M15" s="13">
        <f t="shared" si="1"/>
        <v>65.679999999999993</v>
      </c>
      <c r="N15" s="13">
        <f>SUM(B15:M15)</f>
        <v>1372.95</v>
      </c>
      <c r="O15" s="4" t="s">
        <v>13</v>
      </c>
      <c r="Q15" s="3">
        <f>SUM(N11:N14)</f>
        <v>386.86</v>
      </c>
      <c r="R15" s="16">
        <f>Q15/N15</f>
        <v>0.28177282493899997</v>
      </c>
      <c r="S15" s="3">
        <f>N2+N8+N9</f>
        <v>713.75</v>
      </c>
      <c r="T15" s="16">
        <f>S15/N15</f>
        <v>0.51986598200954148</v>
      </c>
    </row>
    <row r="17" spans="2:14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</sheetData>
  <pageMargins left="0.7" right="0.7" top="0.75" bottom="0.75" header="0.3" footer="0.3"/>
  <ignoredErrors>
    <ignoredError sqref="N2:N14" formulaRange="1"/>
  </ignoredErrors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Table_2_2024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Wolaver, Brad, OSE</dc:creator>
  <cp:lastModifiedBy>Wolaver, Brad, OSE</cp:lastModifiedBy>
  <dcterms:created xsi:type="dcterms:W3CDTF">2025-04-21T17:06:08Z</dcterms:created>
  <dcterms:modified xsi:type="dcterms:W3CDTF">2025-05-06T20:30:11Z</dcterms:modified>
</cp:coreProperties>
</file>