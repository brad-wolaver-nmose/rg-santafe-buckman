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top style="medium"/>
      <bottom style="medium"/>
    </border>
    <border/>
    <border>
      <bottom style="hair"/>
    </border>
    <border>
      <top style="hair"/>
      <bottom style="hair"/>
    </border>
    <border>
      <top style="hair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4" fontId="2" fillId="2" borderId="2" pivotButton="0" quotePrefix="0" xfId="0"/>
    <xf numFmtId="0" fontId="1" fillId="2" borderId="3" applyAlignment="1" pivotButton="0" quotePrefix="0" xfId="0">
      <alignment horizontal="center"/>
    </xf>
    <xf numFmtId="4" fontId="2" fillId="2" borderId="3" pivotButton="0" quotePrefix="0" xfId="0"/>
    <xf numFmtId="0" fontId="1" fillId="2" borderId="4" applyAlignment="1" pivotButton="0" quotePrefix="0" xfId="0">
      <alignment horizontal="center"/>
    </xf>
    <xf numFmtId="4" fontId="2" fillId="2" borderId="4" pivotButton="0" quotePrefix="0" xfId="0"/>
    <xf numFmtId="0" fontId="1" fillId="2" borderId="5" applyAlignment="1" pivotButton="0" quotePrefix="0" xfId="0">
      <alignment horizontal="center"/>
    </xf>
    <xf numFmtId="4" fontId="2" fillId="2" borderId="5" pivotButton="0" quotePrefix="0" xfId="0"/>
    <xf numFmtId="0" fontId="2" fillId="0" borderId="0" pivotButton="0" quotePrefix="0" xfId="0"/>
    <xf numFmtId="4" fontId="2" fillId="2" borderId="1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14.75" customWidth="1" min="1" max="1"/>
    <col width="14.75" customWidth="1" min="15" max="15"/>
  </cols>
  <sheetData>
    <row r="1">
      <c r="A1" s="1" t="inlineStr">
        <is>
          <t>Well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  <c r="O1" s="1" t="inlineStr">
        <is>
          <t>Well</t>
        </is>
      </c>
    </row>
    <row r="2">
      <c r="A2" s="2" t="n">
        <v>1</v>
      </c>
      <c r="B2" s="3" t="n">
        <v>16.887963</v>
      </c>
      <c r="C2" s="3" t="n">
        <v>38.805796</v>
      </c>
      <c r="D2" s="3" t="n">
        <v>10.882195</v>
      </c>
      <c r="E2" s="3" t="n">
        <v>40.702355</v>
      </c>
      <c r="F2" s="3" t="n">
        <v>41.50026</v>
      </c>
      <c r="G2" s="3" t="n">
        <v>68.4541</v>
      </c>
      <c r="H2" s="3" t="n">
        <v>162.493326</v>
      </c>
      <c r="I2" s="3" t="n">
        <v>124.365749</v>
      </c>
      <c r="J2" s="3" t="n">
        <v>45.139933</v>
      </c>
      <c r="K2" s="3" t="n">
        <v>52.047948</v>
      </c>
      <c r="L2" s="3" t="n">
        <v>0</v>
      </c>
      <c r="M2" s="3" t="n">
        <v>0</v>
      </c>
      <c r="N2" s="3">
        <f>SUM(B2:M2)</f>
        <v/>
      </c>
      <c r="O2" s="2" t="n">
        <v>1</v>
      </c>
    </row>
    <row r="3">
      <c r="A3" s="4" t="n">
        <v>2</v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0.003069</v>
      </c>
      <c r="H3" s="5" t="n">
        <v>0</v>
      </c>
      <c r="I3" s="5" t="n">
        <v>0</v>
      </c>
      <c r="J3" s="5" t="n">
        <v>0</v>
      </c>
      <c r="K3" s="5" t="n">
        <v>0.006138</v>
      </c>
      <c r="L3" s="5" t="n">
        <v>0</v>
      </c>
      <c r="M3" s="5" t="n">
        <v>0</v>
      </c>
      <c r="N3" s="5">
        <f>SUM(B3:M3)</f>
        <v/>
      </c>
      <c r="O3" s="4" t="n">
        <v>2</v>
      </c>
    </row>
    <row r="4">
      <c r="A4" s="6" t="n">
        <v>3</v>
      </c>
      <c r="B4" s="7" t="n">
        <v>0</v>
      </c>
      <c r="C4" s="7" t="n">
        <v>0.06751500000000001</v>
      </c>
      <c r="D4" s="7" t="n">
        <v>0.064446</v>
      </c>
      <c r="E4" s="7" t="n">
        <v>0.06751500000000001</v>
      </c>
      <c r="F4" s="7" t="n">
        <v>0.380539</v>
      </c>
      <c r="G4" s="7" t="n">
        <v>23.108552</v>
      </c>
      <c r="H4" s="7" t="n">
        <v>0.791767</v>
      </c>
      <c r="I4" s="7" t="n">
        <v>8.540651</v>
      </c>
      <c r="J4" s="7" t="n">
        <v>0.049102</v>
      </c>
      <c r="K4" s="7" t="n">
        <v>6.38017</v>
      </c>
      <c r="L4" s="7" t="n">
        <v>16.725314</v>
      </c>
      <c r="M4" s="7" t="n">
        <v>0.052171</v>
      </c>
      <c r="N4" s="7">
        <f>SUM(B4:M4)</f>
        <v/>
      </c>
      <c r="O4" s="6" t="n">
        <v>3</v>
      </c>
    </row>
    <row r="5">
      <c r="A5" s="6" t="n">
        <v>4</v>
      </c>
      <c r="B5" s="7" t="n">
        <v>0</v>
      </c>
      <c r="C5" s="7" t="n">
        <v>0.012275</v>
      </c>
      <c r="D5" s="7" t="n">
        <v>0.174925</v>
      </c>
      <c r="E5" s="7" t="n">
        <v>0.082859</v>
      </c>
      <c r="F5" s="7" t="n">
        <v>0.082859</v>
      </c>
      <c r="G5" s="7" t="n">
        <v>24.46806</v>
      </c>
      <c r="H5" s="7" t="n">
        <v>20.156304</v>
      </c>
      <c r="I5" s="7" t="n">
        <v>8.249109000000001</v>
      </c>
      <c r="J5" s="7" t="n">
        <v>3.213102</v>
      </c>
      <c r="K5" s="7" t="n">
        <v>6.895739</v>
      </c>
      <c r="L5" s="7" t="n">
        <v>0</v>
      </c>
      <c r="M5" s="7" t="n">
        <v>0</v>
      </c>
      <c r="N5" s="7">
        <f>SUM(B5:M5)</f>
        <v/>
      </c>
      <c r="O5" s="6" t="n">
        <v>4</v>
      </c>
    </row>
    <row r="6">
      <c r="A6" s="6" t="n">
        <v>5</v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>
        <f>SUM(B6:M6)</f>
        <v/>
      </c>
      <c r="O6" s="6" t="n">
        <v>5</v>
      </c>
    </row>
    <row r="7">
      <c r="A7" s="6" t="n">
        <v>6</v>
      </c>
      <c r="B7" s="7" t="n">
        <v>0.150374</v>
      </c>
      <c r="C7" s="7" t="n">
        <v>0.199476</v>
      </c>
      <c r="D7" s="7" t="n">
        <v>0.969761</v>
      </c>
      <c r="E7" s="7" t="n">
        <v>0</v>
      </c>
      <c r="F7" s="7" t="n">
        <v>19.536394</v>
      </c>
      <c r="G7" s="7" t="n">
        <v>5.606816</v>
      </c>
      <c r="H7" s="7" t="n">
        <v>0.125823</v>
      </c>
      <c r="I7" s="7" t="n">
        <v>72.09991100000001</v>
      </c>
      <c r="J7" s="7" t="n">
        <v>40.44457</v>
      </c>
      <c r="K7" s="7" t="n">
        <v>13.088709</v>
      </c>
      <c r="L7" s="7" t="n">
        <v>0</v>
      </c>
      <c r="M7" s="7" t="n">
        <v>0</v>
      </c>
      <c r="N7" s="7">
        <f>SUM(B7:M7)</f>
        <v/>
      </c>
      <c r="O7" s="6" t="n">
        <v>6</v>
      </c>
    </row>
    <row r="8">
      <c r="A8" s="6" t="n">
        <v>7</v>
      </c>
      <c r="B8" s="7" t="n">
        <v>0.076722</v>
      </c>
      <c r="C8" s="7" t="n">
        <v>0.113548</v>
      </c>
      <c r="D8" s="7" t="n">
        <v>0.073653</v>
      </c>
      <c r="E8" s="7" t="n">
        <v>0.736528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>
        <f>SUM(B8:M8)</f>
        <v/>
      </c>
      <c r="O8" s="6" t="n">
        <v>7</v>
      </c>
    </row>
    <row r="9">
      <c r="A9" s="6" t="n">
        <v>8</v>
      </c>
      <c r="B9" s="7" t="n">
        <v>2.099104</v>
      </c>
      <c r="C9" s="7" t="n">
        <v>0.049102</v>
      </c>
      <c r="D9" s="7" t="n">
        <v>0.86542</v>
      </c>
      <c r="E9" s="7" t="n">
        <v>2.850975</v>
      </c>
      <c r="F9" s="7" t="n">
        <v>26.92622</v>
      </c>
      <c r="G9" s="7" t="n">
        <v>11.133842</v>
      </c>
      <c r="H9" s="7" t="n">
        <v>0.07979</v>
      </c>
      <c r="I9" s="7" t="n">
        <v>1.740046</v>
      </c>
      <c r="J9" s="7" t="n">
        <v>2.623879</v>
      </c>
      <c r="K9" s="7" t="n">
        <v>15.595971</v>
      </c>
      <c r="L9" s="7" t="n">
        <v>0</v>
      </c>
      <c r="M9" s="7" t="n">
        <v>47.502959</v>
      </c>
      <c r="N9" s="7">
        <f>SUM(B9:M9)</f>
        <v/>
      </c>
      <c r="O9" s="6" t="n">
        <v>8</v>
      </c>
    </row>
    <row r="10">
      <c r="A10" s="6" t="n">
        <v>9</v>
      </c>
      <c r="B10" s="7" t="n">
        <v>0.06751500000000001</v>
      </c>
      <c r="C10" s="7" t="n">
        <v>0.05524</v>
      </c>
      <c r="D10" s="7" t="n">
        <v>0.064446</v>
      </c>
      <c r="E10" s="7" t="n">
        <v>0.049102</v>
      </c>
      <c r="F10" s="7" t="n">
        <v>0.046033</v>
      </c>
      <c r="G10" s="7" t="n">
        <v>0.052171</v>
      </c>
      <c r="H10" s="7" t="n">
        <v>0.076722</v>
      </c>
      <c r="I10" s="7" t="n">
        <v>0.064446</v>
      </c>
      <c r="J10" s="7" t="n">
        <v>0.049102</v>
      </c>
      <c r="K10" s="7" t="n">
        <v>0</v>
      </c>
      <c r="L10" s="7" t="n">
        <v>0</v>
      </c>
      <c r="M10" s="7" t="n">
        <v>0</v>
      </c>
      <c r="N10" s="7">
        <f>SUM(B10:M10)</f>
        <v/>
      </c>
      <c r="O10" s="6" t="n">
        <v>9</v>
      </c>
    </row>
    <row r="11">
      <c r="A11" s="6" t="n">
        <v>10</v>
      </c>
      <c r="B11" s="7" t="n">
        <v>0.098204</v>
      </c>
      <c r="C11" s="7" t="n">
        <v>0.082859</v>
      </c>
      <c r="D11" s="7" t="n">
        <v>0</v>
      </c>
      <c r="E11" s="7" t="n">
        <v>0</v>
      </c>
      <c r="F11" s="7" t="n">
        <v>0.181063</v>
      </c>
      <c r="G11" s="7" t="n">
        <v>0.06751500000000001</v>
      </c>
      <c r="H11" s="7" t="n">
        <v>60.269437</v>
      </c>
      <c r="I11" s="7" t="n">
        <v>44.219274</v>
      </c>
      <c r="J11" s="7" t="n">
        <v>24.102865</v>
      </c>
      <c r="K11" s="7" t="n">
        <v>10.08429</v>
      </c>
      <c r="L11" s="7" t="n">
        <v>0.076722</v>
      </c>
      <c r="M11" s="7" t="n">
        <v>12.235564</v>
      </c>
      <c r="N11" s="7">
        <f>SUM(B11:M11)</f>
        <v/>
      </c>
      <c r="O11" s="6" t="n">
        <v>10</v>
      </c>
    </row>
    <row r="12">
      <c r="A12" s="6" t="n">
        <v>11</v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0.058308</v>
      </c>
      <c r="H12" s="7" t="n">
        <v>0.05524</v>
      </c>
      <c r="I12" s="7" t="n">
        <v>0.052171</v>
      </c>
      <c r="J12" s="7" t="n">
        <v>7.294692</v>
      </c>
      <c r="K12" s="7" t="n">
        <v>0</v>
      </c>
      <c r="L12" s="7" t="n">
        <v>3.612054</v>
      </c>
      <c r="M12" s="7" t="n">
        <v>2.547158</v>
      </c>
      <c r="N12" s="7">
        <f>SUM(B12:M12)</f>
        <v/>
      </c>
      <c r="O12" s="6" t="n">
        <v>11</v>
      </c>
    </row>
    <row r="13">
      <c r="A13" s="8" t="n">
        <v>12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0.082859</v>
      </c>
      <c r="H13" s="9" t="n">
        <v>0</v>
      </c>
      <c r="I13" s="9" t="n">
        <v>5.112729</v>
      </c>
      <c r="J13" s="9" t="n">
        <v>3.025901</v>
      </c>
      <c r="K13" s="9" t="n">
        <v>0.199476</v>
      </c>
      <c r="L13" s="9" t="n">
        <v>0.076722</v>
      </c>
      <c r="M13" s="9" t="n">
        <v>1.304268</v>
      </c>
      <c r="N13" s="9">
        <f>SUM(B13:M13)</f>
        <v/>
      </c>
      <c r="O13" s="8" t="n">
        <v>12</v>
      </c>
    </row>
    <row r="14">
      <c r="A14" s="2" t="n">
        <v>13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34.985059</v>
      </c>
      <c r="H14" s="3" t="n">
        <v>57.995408</v>
      </c>
      <c r="I14" s="3" t="n">
        <v>69.509789</v>
      </c>
      <c r="J14" s="3" t="n">
        <v>15.651211</v>
      </c>
      <c r="K14" s="3" t="n">
        <v>31.538724</v>
      </c>
      <c r="L14" s="3" t="n">
        <v>0.294611</v>
      </c>
      <c r="M14" s="3" t="n">
        <v>2.043864</v>
      </c>
      <c r="N14" s="3">
        <f>SUM(B14:M14)</f>
        <v/>
      </c>
      <c r="O14" s="2" t="n">
        <v>13</v>
      </c>
      <c r="Q14" s="10" t="inlineStr">
        <is>
          <t>wells 10-13</t>
        </is>
      </c>
      <c r="R14" s="10" t="inlineStr">
        <is>
          <t>% total</t>
        </is>
      </c>
      <c r="S14" s="10" t="inlineStr">
        <is>
          <t>wells 1, 7, 8</t>
        </is>
      </c>
    </row>
    <row r="15">
      <c r="A15" s="1" t="inlineStr">
        <is>
          <t>Total</t>
        </is>
      </c>
      <c r="B15" s="11">
        <f>SUM(B2:B14)</f>
        <v/>
      </c>
      <c r="C15" s="11">
        <f>SUM(C2:C14)</f>
        <v/>
      </c>
      <c r="D15" s="11">
        <f>SUM(D2:D14)</f>
        <v/>
      </c>
      <c r="E15" s="11">
        <f>SUM(E2:E14)</f>
        <v/>
      </c>
      <c r="F15" s="11">
        <f>SUM(F2:F14)</f>
        <v/>
      </c>
      <c r="G15" s="11">
        <f>SUM(G2:G14)</f>
        <v/>
      </c>
      <c r="H15" s="11">
        <f>SUM(H2:H14)</f>
        <v/>
      </c>
      <c r="I15" s="11">
        <f>SUM(I2:I14)</f>
        <v/>
      </c>
      <c r="J15" s="11">
        <f>SUM(J2:J14)</f>
        <v/>
      </c>
      <c r="K15" s="11">
        <f>SUM(K2:K14)</f>
        <v/>
      </c>
      <c r="L15" s="11">
        <f>SUM(L2:L14)</f>
        <v/>
      </c>
      <c r="M15" s="11">
        <f>SUM(M2:M14)</f>
        <v/>
      </c>
      <c r="N15" s="11">
        <f>SUM(B15:M15)</f>
        <v/>
      </c>
      <c r="O15" s="1" t="inlineStr">
        <is>
          <t>Total</t>
        </is>
      </c>
      <c r="Q15" s="12">
        <f>SUM(N11:N14)</f>
        <v/>
      </c>
      <c r="R15" s="13">
        <f>Q15/N15</f>
        <v/>
      </c>
      <c r="S15" s="12">
        <f>N2+N8+N9</f>
        <v/>
      </c>
      <c r="T15" s="13">
        <f>S15/N15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2026-02-02T23:06:58Z</dcterms:created>
  <dcterms:modified xmlns:dcterms="http://purl.org/dc/terms/" xmlns:xsi="http://www.w3.org/2001/XMLSchema-instance" xsi:type="dcterms:W3CDTF">2026-02-02T23:06:58Z</dcterms:modified>
</cp:coreProperties>
</file>