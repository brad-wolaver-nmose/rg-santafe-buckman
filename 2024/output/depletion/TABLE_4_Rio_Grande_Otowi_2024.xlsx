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4 - Rio Grande, Otow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3">
    <font>
      <name val="Calibri"/>
      <family val="2"/>
      <color theme="1"/>
      <sz val="11"/>
      <scheme val="minor"/>
    </font>
    <font>
      <name val="Aptos"/>
      <b val="1"/>
      <sz val="11"/>
    </font>
    <font>
      <name val="Aptos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applyAlignment="1" pivotButton="0" quotePrefix="0" xfId="0">
      <alignment horizontal="center"/>
    </xf>
    <xf numFmtId="164" fontId="2" fillId="0" borderId="0" pivotButton="0" quotePrefix="0" xfId="0"/>
    <xf numFmtId="0" fontId="1" fillId="0" borderId="0" pivotButton="0" quotePrefix="0" xfId="0"/>
    <xf numFmtId="165" fontId="2" fillId="0" borderId="0" pivotButton="0" quotePrefix="0" xfId="0"/>
    <xf numFmtId="165" fontId="0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0" customWidth="1" min="18" max="18"/>
  </cols>
  <sheetData>
    <row r="1">
      <c r="A1" s="1" t="inlineStr">
        <is>
          <t>KEY</t>
        </is>
      </c>
      <c r="B1" s="1" t="inlineStr">
        <is>
          <t>YEAR</t>
        </is>
      </c>
      <c r="C1" s="1" t="inlineStr">
        <is>
          <t>LAY</t>
        </is>
      </c>
      <c r="D1" s="1" t="inlineStr">
        <is>
          <t>ROW</t>
        </is>
      </c>
      <c r="E1" s="1" t="inlineStr">
        <is>
          <t>COL</t>
        </is>
      </c>
      <c r="F1" s="1" t="inlineStr">
        <is>
          <t>JAN</t>
        </is>
      </c>
      <c r="G1" s="1" t="inlineStr">
        <is>
          <t>FEB</t>
        </is>
      </c>
      <c r="H1" s="1" t="inlineStr">
        <is>
          <t>MAR</t>
        </is>
      </c>
      <c r="I1" s="1" t="inlineStr">
        <is>
          <t>APR</t>
        </is>
      </c>
      <c r="J1" s="1" t="inlineStr">
        <is>
          <t>MAY</t>
        </is>
      </c>
      <c r="K1" s="1" t="inlineStr">
        <is>
          <t>JUN</t>
        </is>
      </c>
      <c r="L1" s="1" t="inlineStr">
        <is>
          <t>JUL</t>
        </is>
      </c>
      <c r="M1" s="1" t="inlineStr">
        <is>
          <t>AUG</t>
        </is>
      </c>
      <c r="N1" s="1" t="inlineStr">
        <is>
          <t>SEP</t>
        </is>
      </c>
      <c r="O1" s="1" t="inlineStr">
        <is>
          <t>OCT</t>
        </is>
      </c>
      <c r="P1" s="1" t="inlineStr">
        <is>
          <t>NOV</t>
        </is>
      </c>
      <c r="Q1" s="1" t="inlineStr">
        <is>
          <t>DEC</t>
        </is>
      </c>
      <c r="R1" s="1" t="inlineStr">
        <is>
          <t>Otowi</t>
        </is>
      </c>
    </row>
    <row r="2">
      <c r="A2" s="2" t="n">
        <v>2089</v>
      </c>
      <c r="B2" s="2" t="n">
        <v>2024</v>
      </c>
      <c r="C2" s="2" t="n">
        <v>1</v>
      </c>
      <c r="D2" s="2" t="n">
        <v>9</v>
      </c>
      <c r="E2" s="2" t="n">
        <v>14</v>
      </c>
      <c r="F2" s="3" t="n">
        <v>0.025737</v>
      </c>
      <c r="G2" s="3" t="n">
        <v>0.025725</v>
      </c>
      <c r="H2" s="3" t="n">
        <v>0.02571</v>
      </c>
      <c r="I2" s="3" t="n">
        <v>0.025696</v>
      </c>
      <c r="J2" s="3" t="n">
        <v>0.025681</v>
      </c>
      <c r="K2" s="3" t="n">
        <v>0.025668</v>
      </c>
      <c r="L2" s="3" t="n">
        <v>0.02566</v>
      </c>
      <c r="M2" s="3" t="n">
        <v>0.02566</v>
      </c>
      <c r="N2" s="3" t="n">
        <v>0.025669</v>
      </c>
      <c r="O2" s="3" t="n">
        <v>0.025685</v>
      </c>
      <c r="P2" s="3" t="n">
        <v>0.025705</v>
      </c>
      <c r="Q2" s="3" t="n">
        <v>0.025726</v>
      </c>
    </row>
    <row r="3">
      <c r="A3" s="2" t="n">
        <v>2090</v>
      </c>
      <c r="B3" s="2" t="n">
        <v>2024</v>
      </c>
      <c r="C3" s="2" t="n">
        <v>1</v>
      </c>
      <c r="D3" s="2" t="n">
        <v>9</v>
      </c>
      <c r="E3" s="2" t="n">
        <v>15</v>
      </c>
      <c r="F3" s="3" t="n">
        <v>0.024342</v>
      </c>
      <c r="G3" s="3" t="n">
        <v>0.024346</v>
      </c>
      <c r="H3" s="3" t="n">
        <v>0.024348</v>
      </c>
      <c r="I3" s="3" t="n">
        <v>0.024349</v>
      </c>
      <c r="J3" s="3" t="n">
        <v>0.02435</v>
      </c>
      <c r="K3" s="3" t="n">
        <v>0.024351</v>
      </c>
      <c r="L3" s="3" t="n">
        <v>0.024354</v>
      </c>
      <c r="M3" s="3" t="n">
        <v>0.024362</v>
      </c>
      <c r="N3" s="3" t="n">
        <v>0.024373</v>
      </c>
      <c r="O3" s="3" t="n">
        <v>0.02439</v>
      </c>
      <c r="P3" s="3" t="n">
        <v>0.024409</v>
      </c>
      <c r="Q3" s="3" t="n">
        <v>0.024431</v>
      </c>
    </row>
    <row r="4">
      <c r="A4" s="2" t="n">
        <v>2091</v>
      </c>
      <c r="B4" s="2" t="n">
        <v>2024</v>
      </c>
      <c r="C4" s="2" t="n">
        <v>1</v>
      </c>
      <c r="D4" s="2" t="n">
        <v>9</v>
      </c>
      <c r="E4" s="2" t="n">
        <v>16</v>
      </c>
      <c r="F4" s="3" t="n">
        <v>0.013343</v>
      </c>
      <c r="G4" s="3" t="n">
        <v>0.013353</v>
      </c>
      <c r="H4" s="3" t="n">
        <v>0.013363</v>
      </c>
      <c r="I4" s="3" t="n">
        <v>0.013372</v>
      </c>
      <c r="J4" s="3" t="n">
        <v>0.013381</v>
      </c>
      <c r="K4" s="3" t="n">
        <v>0.01339</v>
      </c>
      <c r="L4" s="3" t="n">
        <v>0.0134</v>
      </c>
      <c r="M4" s="3" t="n">
        <v>0.013411</v>
      </c>
      <c r="N4" s="3" t="n">
        <v>0.013424</v>
      </c>
      <c r="O4" s="3" t="n">
        <v>0.01344</v>
      </c>
      <c r="P4" s="3" t="n">
        <v>0.013459</v>
      </c>
      <c r="Q4" s="3" t="n">
        <v>0.013479</v>
      </c>
    </row>
    <row r="5">
      <c r="A5" s="2" t="n">
        <v>2092</v>
      </c>
      <c r="B5" s="2" t="n">
        <v>2024</v>
      </c>
      <c r="C5" s="2" t="n">
        <v>1</v>
      </c>
      <c r="D5" s="2" t="n">
        <v>9</v>
      </c>
      <c r="E5" s="2" t="n">
        <v>17</v>
      </c>
      <c r="F5" s="3" t="n">
        <v>0.007739</v>
      </c>
      <c r="G5" s="3" t="n">
        <v>0.007749</v>
      </c>
      <c r="H5" s="3" t="n">
        <v>0.007759</v>
      </c>
      <c r="I5" s="3" t="n">
        <v>0.007768</v>
      </c>
      <c r="J5" s="3" t="n">
        <v>0.007778</v>
      </c>
      <c r="K5" s="3" t="n">
        <v>0.007787</v>
      </c>
      <c r="L5" s="3" t="n">
        <v>0.007796</v>
      </c>
      <c r="M5" s="3" t="n">
        <v>0.007806</v>
      </c>
      <c r="N5" s="3" t="n">
        <v>0.007816999999999999</v>
      </c>
      <c r="O5" s="3" t="n">
        <v>0.007828999999999999</v>
      </c>
      <c r="P5" s="3" t="n">
        <v>0.007842999999999999</v>
      </c>
      <c r="Q5" s="3" t="n">
        <v>0.007858</v>
      </c>
    </row>
    <row r="6">
      <c r="A6" s="2" t="n">
        <v>2093</v>
      </c>
      <c r="B6" s="2" t="n">
        <v>2024</v>
      </c>
      <c r="C6" s="2" t="n">
        <v>1</v>
      </c>
      <c r="D6" s="2" t="n">
        <v>9</v>
      </c>
      <c r="E6" s="2" t="n">
        <v>18</v>
      </c>
      <c r="F6" s="3" t="n">
        <v>0.004309</v>
      </c>
      <c r="G6" s="3" t="n">
        <v>0.004314</v>
      </c>
      <c r="H6" s="3" t="n">
        <v>0.00432</v>
      </c>
      <c r="I6" s="3" t="n">
        <v>0.004325</v>
      </c>
      <c r="J6" s="3" t="n">
        <v>0.004331</v>
      </c>
      <c r="K6" s="3" t="n">
        <v>0.004336</v>
      </c>
      <c r="L6" s="3" t="n">
        <v>0.004341</v>
      </c>
      <c r="M6" s="3" t="n">
        <v>0.004347</v>
      </c>
      <c r="N6" s="3" t="n">
        <v>0.004352</v>
      </c>
      <c r="O6" s="3" t="n">
        <v>0.004359</v>
      </c>
      <c r="P6" s="3" t="n">
        <v>0.004366</v>
      </c>
      <c r="Q6" s="3" t="n">
        <v>0.004374</v>
      </c>
    </row>
    <row r="7">
      <c r="A7" s="2" t="n">
        <v>2094</v>
      </c>
      <c r="B7" s="2" t="n">
        <v>2024</v>
      </c>
      <c r="C7" s="2" t="n">
        <v>1</v>
      </c>
      <c r="D7" s="2" t="n">
        <v>9</v>
      </c>
      <c r="E7" s="2" t="n">
        <v>19</v>
      </c>
      <c r="F7" s="3" t="n">
        <v>0.001757</v>
      </c>
      <c r="G7" s="3" t="n">
        <v>0.001758</v>
      </c>
      <c r="H7" s="3" t="n">
        <v>0.00176</v>
      </c>
      <c r="I7" s="3" t="n">
        <v>0.001761</v>
      </c>
      <c r="J7" s="3" t="n">
        <v>0.001762</v>
      </c>
      <c r="K7" s="3" t="n">
        <v>0.001763</v>
      </c>
      <c r="L7" s="3" t="n">
        <v>0.001764</v>
      </c>
      <c r="M7" s="3" t="n">
        <v>0.001765</v>
      </c>
      <c r="N7" s="3" t="n">
        <v>0.001766</v>
      </c>
      <c r="O7" s="3" t="n">
        <v>0.001767</v>
      </c>
      <c r="P7" s="3" t="n">
        <v>0.001769</v>
      </c>
      <c r="Q7" s="3" t="n">
        <v>0.001771</v>
      </c>
    </row>
    <row r="8">
      <c r="A8" s="2" t="n">
        <v>2095</v>
      </c>
      <c r="B8" s="2" t="n">
        <v>2024</v>
      </c>
      <c r="C8" s="2" t="n">
        <v>1</v>
      </c>
      <c r="D8" s="2" t="n">
        <v>9</v>
      </c>
      <c r="E8" s="2" t="n">
        <v>20</v>
      </c>
      <c r="F8" s="3" t="n">
        <v>0.001475</v>
      </c>
      <c r="G8" s="3" t="n">
        <v>0.001476</v>
      </c>
      <c r="H8" s="3" t="n">
        <v>0.001477</v>
      </c>
      <c r="I8" s="3" t="n">
        <v>0.001478</v>
      </c>
      <c r="J8" s="3" t="n">
        <v>0.001479</v>
      </c>
      <c r="K8" s="3" t="n">
        <v>0.001479</v>
      </c>
      <c r="L8" s="3" t="n">
        <v>0.00148</v>
      </c>
      <c r="M8" s="3" t="n">
        <v>0.001481</v>
      </c>
      <c r="N8" s="3" t="n">
        <v>0.001481</v>
      </c>
      <c r="O8" s="3" t="n">
        <v>0.001482</v>
      </c>
      <c r="P8" s="3" t="n">
        <v>0.001483</v>
      </c>
      <c r="Q8" s="3" t="n">
        <v>0.001485</v>
      </c>
    </row>
    <row r="9">
      <c r="A9" s="2" t="n">
        <v>2096</v>
      </c>
      <c r="B9" s="2" t="n">
        <v>2024</v>
      </c>
      <c r="C9" s="2" t="n">
        <v>1</v>
      </c>
      <c r="D9" s="2" t="n">
        <v>9</v>
      </c>
      <c r="E9" s="2" t="n">
        <v>21</v>
      </c>
      <c r="F9" s="3" t="n">
        <v>0.001271</v>
      </c>
      <c r="G9" s="3" t="n">
        <v>0.001272</v>
      </c>
      <c r="H9" s="3" t="n">
        <v>0.001273</v>
      </c>
      <c r="I9" s="3" t="n">
        <v>0.001274</v>
      </c>
      <c r="J9" s="3" t="n">
        <v>0.001275</v>
      </c>
      <c r="K9" s="3" t="n">
        <v>0.001276</v>
      </c>
      <c r="L9" s="3" t="n">
        <v>0.001277</v>
      </c>
      <c r="M9" s="3" t="n">
        <v>0.001277</v>
      </c>
      <c r="N9" s="3" t="n">
        <v>0.001278</v>
      </c>
      <c r="O9" s="3" t="n">
        <v>0.001279</v>
      </c>
      <c r="P9" s="3" t="n">
        <v>0.00128</v>
      </c>
      <c r="Q9" s="3" t="n">
        <v>0.001281</v>
      </c>
    </row>
    <row r="10">
      <c r="A10" s="2" t="n">
        <v>2097</v>
      </c>
      <c r="B10" s="2" t="n">
        <v>2024</v>
      </c>
      <c r="C10" s="2" t="n">
        <v>1</v>
      </c>
      <c r="D10" s="2" t="n">
        <v>10</v>
      </c>
      <c r="E10" s="2" t="n">
        <v>19</v>
      </c>
      <c r="F10" s="3" t="n">
        <v>0.003938</v>
      </c>
      <c r="G10" s="3" t="n">
        <v>0.003944</v>
      </c>
      <c r="H10" s="3" t="n">
        <v>0.00395</v>
      </c>
      <c r="I10" s="3" t="n">
        <v>0.003955</v>
      </c>
      <c r="J10" s="3" t="n">
        <v>0.003961</v>
      </c>
      <c r="K10" s="3" t="n">
        <v>0.003967</v>
      </c>
      <c r="L10" s="3" t="n">
        <v>0.003972</v>
      </c>
      <c r="M10" s="3" t="n">
        <v>0.003978</v>
      </c>
      <c r="N10" s="3" t="n">
        <v>0.003984</v>
      </c>
      <c r="O10" s="3" t="n">
        <v>0.003991</v>
      </c>
      <c r="P10" s="3" t="n">
        <v>0.003997</v>
      </c>
      <c r="Q10" s="3" t="n">
        <v>0.004005</v>
      </c>
    </row>
    <row r="11">
      <c r="A11" s="2" t="n">
        <v>2098</v>
      </c>
      <c r="B11" s="2" t="n">
        <v>2024</v>
      </c>
      <c r="C11" s="2" t="n">
        <v>1</v>
      </c>
      <c r="D11" s="2" t="n">
        <v>10</v>
      </c>
      <c r="E11" s="2" t="n">
        <v>22</v>
      </c>
      <c r="F11" s="3" t="n">
        <v>0.001343</v>
      </c>
      <c r="G11" s="3" t="n">
        <v>0.001344</v>
      </c>
      <c r="H11" s="3" t="n">
        <v>0.001345</v>
      </c>
      <c r="I11" s="3" t="n">
        <v>0.001347</v>
      </c>
      <c r="J11" s="3" t="n">
        <v>0.001348</v>
      </c>
      <c r="K11" s="3" t="n">
        <v>0.001349</v>
      </c>
      <c r="L11" s="3" t="n">
        <v>0.00135</v>
      </c>
      <c r="M11" s="3" t="n">
        <v>0.001351</v>
      </c>
      <c r="N11" s="3" t="n">
        <v>0.001352</v>
      </c>
      <c r="O11" s="3" t="n">
        <v>0.001354</v>
      </c>
      <c r="P11" s="3" t="n">
        <v>0.001355</v>
      </c>
      <c r="Q11" s="3" t="n">
        <v>0.001356</v>
      </c>
    </row>
    <row r="12">
      <c r="A12" s="2" t="n">
        <v>2099</v>
      </c>
      <c r="B12" s="2" t="n">
        <v>2024</v>
      </c>
      <c r="C12" s="2" t="n">
        <v>1</v>
      </c>
      <c r="D12" s="2" t="n">
        <v>11</v>
      </c>
      <c r="E12" s="2" t="n">
        <v>19</v>
      </c>
      <c r="F12" s="3" t="n">
        <v>0.007659</v>
      </c>
      <c r="G12" s="3" t="n">
        <v>0.007674</v>
      </c>
      <c r="H12" s="3" t="n">
        <v>0.00769</v>
      </c>
      <c r="I12" s="3" t="n">
        <v>0.007705</v>
      </c>
      <c r="J12" s="3" t="n">
        <v>0.00772</v>
      </c>
      <c r="K12" s="3" t="n">
        <v>0.007735</v>
      </c>
      <c r="L12" s="3" t="n">
        <v>0.00775</v>
      </c>
      <c r="M12" s="3" t="n">
        <v>0.007766</v>
      </c>
      <c r="N12" s="3" t="n">
        <v>0.007781</v>
      </c>
      <c r="O12" s="3" t="n">
        <v>0.007797</v>
      </c>
      <c r="P12" s="3" t="n">
        <v>0.007814</v>
      </c>
      <c r="Q12" s="3" t="n">
        <v>0.007832</v>
      </c>
    </row>
    <row r="13">
      <c r="A13" s="2" t="n">
        <v>2100</v>
      </c>
      <c r="B13" s="2" t="n">
        <v>2024</v>
      </c>
      <c r="C13" s="2" t="n">
        <v>1</v>
      </c>
      <c r="D13" s="2" t="n">
        <v>11</v>
      </c>
      <c r="E13" s="2" t="n">
        <v>23</v>
      </c>
      <c r="F13" s="3" t="n">
        <v>0.000965</v>
      </c>
      <c r="G13" s="3" t="n">
        <v>0.000966</v>
      </c>
      <c r="H13" s="3" t="n">
        <v>0.000967</v>
      </c>
      <c r="I13" s="3" t="n">
        <v>0.000969</v>
      </c>
      <c r="J13" s="3" t="n">
        <v>0.0009700000000000001</v>
      </c>
      <c r="K13" s="3" t="n">
        <v>0.000971</v>
      </c>
      <c r="L13" s="3" t="n">
        <v>0.000972</v>
      </c>
      <c r="M13" s="3" t="n">
        <v>0.000973</v>
      </c>
      <c r="N13" s="3" t="n">
        <v>0.000975</v>
      </c>
      <c r="O13" s="3" t="n">
        <v>0.000976</v>
      </c>
      <c r="P13" s="3" t="n">
        <v>0.000977</v>
      </c>
      <c r="Q13" s="3" t="n">
        <v>0.0009779999999999999</v>
      </c>
    </row>
    <row r="14">
      <c r="A14" s="2" t="n">
        <v>2101</v>
      </c>
      <c r="B14" s="2" t="n">
        <v>2024</v>
      </c>
      <c r="C14" s="2" t="n">
        <v>1</v>
      </c>
      <c r="D14" s="2" t="n">
        <v>12</v>
      </c>
      <c r="E14" s="2" t="n">
        <v>20</v>
      </c>
      <c r="F14" s="3" t="n">
        <v>0.005577</v>
      </c>
      <c r="G14" s="3" t="n">
        <v>0.005588</v>
      </c>
      <c r="H14" s="3" t="n">
        <v>0.005599</v>
      </c>
      <c r="I14" s="3" t="n">
        <v>0.00561</v>
      </c>
      <c r="J14" s="3" t="n">
        <v>0.005621</v>
      </c>
      <c r="K14" s="3" t="n">
        <v>0.005631</v>
      </c>
      <c r="L14" s="3" t="n">
        <v>0.005642</v>
      </c>
      <c r="M14" s="3" t="n">
        <v>0.005652</v>
      </c>
      <c r="N14" s="3" t="n">
        <v>0.005663</v>
      </c>
      <c r="O14" s="3" t="n">
        <v>0.005674</v>
      </c>
      <c r="P14" s="3" t="n">
        <v>0.005685</v>
      </c>
      <c r="Q14" s="3" t="n">
        <v>0.005697</v>
      </c>
    </row>
    <row r="15">
      <c r="A15" s="2" t="n">
        <v>2102</v>
      </c>
      <c r="B15" s="2" t="n">
        <v>2024</v>
      </c>
      <c r="C15" s="2" t="n">
        <v>1</v>
      </c>
      <c r="D15" s="2" t="n">
        <v>12</v>
      </c>
      <c r="E15" s="2" t="n">
        <v>23</v>
      </c>
      <c r="F15" s="3" t="n">
        <v>0.0013</v>
      </c>
      <c r="G15" s="3" t="n">
        <v>0.001302</v>
      </c>
      <c r="H15" s="3" t="n">
        <v>0.001304</v>
      </c>
      <c r="I15" s="3" t="n">
        <v>0.001307</v>
      </c>
      <c r="J15" s="3" t="n">
        <v>0.001309</v>
      </c>
      <c r="K15" s="3" t="n">
        <v>0.001311</v>
      </c>
      <c r="L15" s="3" t="n">
        <v>0.001313</v>
      </c>
      <c r="M15" s="3" t="n">
        <v>0.001315</v>
      </c>
      <c r="N15" s="3" t="n">
        <v>0.001317</v>
      </c>
      <c r="O15" s="3" t="n">
        <v>0.001319</v>
      </c>
      <c r="P15" s="3" t="n">
        <v>0.001321</v>
      </c>
      <c r="Q15" s="3" t="n">
        <v>0.001323</v>
      </c>
    </row>
    <row r="16">
      <c r="A16" s="2" t="n">
        <v>2103</v>
      </c>
      <c r="B16" s="2" t="n">
        <v>2024</v>
      </c>
      <c r="C16" s="2" t="n">
        <v>1</v>
      </c>
      <c r="D16" s="2" t="n">
        <v>13</v>
      </c>
      <c r="E16" s="2" t="n">
        <v>20</v>
      </c>
      <c r="F16" s="3" t="n">
        <v>0.0001</v>
      </c>
      <c r="G16" s="3" t="n">
        <v>0.0001</v>
      </c>
      <c r="H16" s="3" t="n">
        <v>0.0001</v>
      </c>
      <c r="I16" s="3" t="n">
        <v>0.0001</v>
      </c>
      <c r="J16" s="3" t="n">
        <v>0.0001</v>
      </c>
      <c r="K16" s="3" t="n">
        <v>0.0001</v>
      </c>
      <c r="L16" s="3" t="n">
        <v>0.0001</v>
      </c>
      <c r="M16" s="3" t="n">
        <v>0.0001</v>
      </c>
      <c r="N16" s="3" t="n">
        <v>0.0001</v>
      </c>
      <c r="O16" s="3" t="n">
        <v>0.0001</v>
      </c>
      <c r="P16" s="3" t="n">
        <v>0.0001</v>
      </c>
      <c r="Q16" s="3" t="n">
        <v>0.0001</v>
      </c>
    </row>
    <row r="17">
      <c r="A17" s="2" t="n">
        <v>2104</v>
      </c>
      <c r="B17" s="2" t="n">
        <v>2024</v>
      </c>
      <c r="C17" s="2" t="n">
        <v>1</v>
      </c>
      <c r="D17" s="2" t="n">
        <v>14</v>
      </c>
      <c r="E17" s="2" t="n">
        <v>21</v>
      </c>
      <c r="F17" s="3" t="n">
        <v>0.003859</v>
      </c>
      <c r="G17" s="3" t="n">
        <v>0.003868</v>
      </c>
      <c r="H17" s="3" t="n">
        <v>0.003877</v>
      </c>
      <c r="I17" s="3" t="n">
        <v>0.003886</v>
      </c>
      <c r="J17" s="3" t="n">
        <v>0.003894</v>
      </c>
      <c r="K17" s="3" t="n">
        <v>0.003902</v>
      </c>
      <c r="L17" s="3" t="n">
        <v>0.00391</v>
      </c>
      <c r="M17" s="3" t="n">
        <v>0.003918</v>
      </c>
      <c r="N17" s="3" t="n">
        <v>0.003926</v>
      </c>
      <c r="O17" s="3" t="n">
        <v>0.003934</v>
      </c>
      <c r="P17" s="3" t="n">
        <v>0.003942</v>
      </c>
      <c r="Q17" s="3" t="n">
        <v>0.003951</v>
      </c>
    </row>
    <row r="18">
      <c r="A18" s="2" t="n">
        <v>2105</v>
      </c>
      <c r="B18" s="2" t="n">
        <v>2024</v>
      </c>
      <c r="C18" s="2" t="n">
        <v>1</v>
      </c>
      <c r="D18" s="2" t="n">
        <v>15</v>
      </c>
      <c r="E18" s="2" t="n">
        <v>21</v>
      </c>
      <c r="F18" s="3" t="n">
        <v>0.004141</v>
      </c>
      <c r="G18" s="3" t="n">
        <v>0.004152</v>
      </c>
      <c r="H18" s="3" t="n">
        <v>0.004164</v>
      </c>
      <c r="I18" s="3" t="n">
        <v>0.004176</v>
      </c>
      <c r="J18" s="3" t="n">
        <v>0.004186</v>
      </c>
      <c r="K18" s="3" t="n">
        <v>0.004196</v>
      </c>
      <c r="L18" s="3" t="n">
        <v>0.004205</v>
      </c>
      <c r="M18" s="3" t="n">
        <v>0.004215</v>
      </c>
      <c r="N18" s="3" t="n">
        <v>0.004224</v>
      </c>
      <c r="O18" s="3" t="n">
        <v>0.004233</v>
      </c>
      <c r="P18" s="3" t="n">
        <v>0.004244</v>
      </c>
      <c r="Q18" s="3" t="n">
        <v>0.004255</v>
      </c>
    </row>
    <row r="19">
      <c r="A19" s="2" t="n">
        <v>2106</v>
      </c>
      <c r="B19" s="2" t="n">
        <v>2024</v>
      </c>
      <c r="C19" s="2" t="n">
        <v>1</v>
      </c>
      <c r="D19" s="2" t="n">
        <v>16</v>
      </c>
      <c r="E19" s="2" t="n">
        <v>22</v>
      </c>
      <c r="F19" s="3" t="n">
        <v>0.002922</v>
      </c>
      <c r="G19" s="3" t="n">
        <v>0.002931</v>
      </c>
      <c r="H19" s="3" t="n">
        <v>0.002941</v>
      </c>
      <c r="I19" s="3" t="n">
        <v>0.002949</v>
      </c>
      <c r="J19" s="3" t="n">
        <v>0.002957</v>
      </c>
      <c r="K19" s="3" t="n">
        <v>0.002964</v>
      </c>
      <c r="L19" s="3" t="n">
        <v>0.002971</v>
      </c>
      <c r="M19" s="3" t="n">
        <v>0.002978</v>
      </c>
      <c r="N19" s="3" t="n">
        <v>0.002985</v>
      </c>
      <c r="O19" s="3" t="n">
        <v>0.002992</v>
      </c>
      <c r="P19" s="3" t="n">
        <v>0.002999</v>
      </c>
      <c r="Q19" s="3" t="n">
        <v>0.003006</v>
      </c>
    </row>
    <row r="20">
      <c r="A20" s="2" t="n">
        <v>2107</v>
      </c>
      <c r="B20" s="2" t="n">
        <v>2024</v>
      </c>
      <c r="C20" s="2" t="n">
        <v>1</v>
      </c>
      <c r="D20" s="2" t="n">
        <v>1</v>
      </c>
      <c r="E20" s="2" t="n">
        <v>16</v>
      </c>
      <c r="F20" s="3" t="n">
        <v>0.000727</v>
      </c>
      <c r="G20" s="3" t="n">
        <v>0.000728</v>
      </c>
      <c r="H20" s="3" t="n">
        <v>0.000728</v>
      </c>
      <c r="I20" s="3" t="n">
        <v>0.000729</v>
      </c>
      <c r="J20" s="3" t="n">
        <v>0.00073</v>
      </c>
      <c r="K20" s="3" t="n">
        <v>0.000731</v>
      </c>
      <c r="L20" s="3" t="n">
        <v>0.000731</v>
      </c>
      <c r="M20" s="3" t="n">
        <v>0.000732</v>
      </c>
      <c r="N20" s="3" t="n">
        <v>0.000733</v>
      </c>
      <c r="O20" s="3" t="n">
        <v>0.000733</v>
      </c>
      <c r="P20" s="3" t="n">
        <v>0.000734</v>
      </c>
      <c r="Q20" s="3" t="n">
        <v>0.000735</v>
      </c>
      <c r="R20" s="2" t="inlineStr">
        <is>
          <t>above</t>
        </is>
      </c>
    </row>
    <row r="21">
      <c r="A21" s="2" t="n">
        <v>2108</v>
      </c>
      <c r="B21" s="2" t="n">
        <v>2024</v>
      </c>
      <c r="C21" s="2" t="n">
        <v>1</v>
      </c>
      <c r="D21" s="2" t="n">
        <v>2</v>
      </c>
      <c r="E21" s="2" t="n">
        <v>16</v>
      </c>
      <c r="F21" s="3" t="n">
        <v>0.000821</v>
      </c>
      <c r="G21" s="3" t="n">
        <v>0.000822</v>
      </c>
      <c r="H21" s="3" t="n">
        <v>0.000822</v>
      </c>
      <c r="I21" s="3" t="n">
        <v>0.0008229999999999999</v>
      </c>
      <c r="J21" s="3" t="n">
        <v>0.000824</v>
      </c>
      <c r="K21" s="3" t="n">
        <v>0.000824</v>
      </c>
      <c r="L21" s="3" t="n">
        <v>0.000825</v>
      </c>
      <c r="M21" s="3" t="n">
        <v>0.000826</v>
      </c>
      <c r="N21" s="3" t="n">
        <v>0.000826</v>
      </c>
      <c r="O21" s="3" t="n">
        <v>0.000827</v>
      </c>
      <c r="P21" s="3" t="n">
        <v>0.000828</v>
      </c>
      <c r="Q21" s="3" t="n">
        <v>0.000829</v>
      </c>
      <c r="R21" s="2" t="inlineStr">
        <is>
          <t>above</t>
        </is>
      </c>
    </row>
    <row r="22">
      <c r="A22" s="2" t="n">
        <v>2109</v>
      </c>
      <c r="B22" s="2" t="n">
        <v>2024</v>
      </c>
      <c r="C22" s="2" t="n">
        <v>1</v>
      </c>
      <c r="D22" s="2" t="n">
        <v>3</v>
      </c>
      <c r="E22" s="2" t="n">
        <v>16</v>
      </c>
      <c r="F22" s="3" t="n">
        <v>0.0009840000000000001</v>
      </c>
      <c r="G22" s="3" t="n">
        <v>0.000985</v>
      </c>
      <c r="H22" s="3" t="n">
        <v>0.000985</v>
      </c>
      <c r="I22" s="3" t="n">
        <v>0.0009859999999999999</v>
      </c>
      <c r="J22" s="3" t="n">
        <v>0.0009859999999999999</v>
      </c>
      <c r="K22" s="3" t="n">
        <v>0.000987</v>
      </c>
      <c r="L22" s="3" t="n">
        <v>0.000987</v>
      </c>
      <c r="M22" s="3" t="n">
        <v>0.0009879999999999999</v>
      </c>
      <c r="N22" s="3" t="n">
        <v>0.0009879999999999999</v>
      </c>
      <c r="O22" s="3" t="n">
        <v>0.0009890000000000001</v>
      </c>
      <c r="P22" s="3" t="n">
        <v>0.00099</v>
      </c>
      <c r="Q22" s="3" t="n">
        <v>0.0009909999999999999</v>
      </c>
      <c r="R22" s="2" t="inlineStr">
        <is>
          <t>above</t>
        </is>
      </c>
    </row>
    <row r="23">
      <c r="A23" s="2" t="n">
        <v>2110</v>
      </c>
      <c r="B23" s="2" t="n">
        <v>2024</v>
      </c>
      <c r="C23" s="2" t="n">
        <v>1</v>
      </c>
      <c r="D23" s="2" t="n">
        <v>4</v>
      </c>
      <c r="E23" s="2" t="n">
        <v>16</v>
      </c>
      <c r="F23" s="3" t="n">
        <v>0.001659</v>
      </c>
      <c r="G23" s="3" t="n">
        <v>0.001659</v>
      </c>
      <c r="H23" s="3" t="n">
        <v>0.00166</v>
      </c>
      <c r="I23" s="3" t="n">
        <v>0.001661</v>
      </c>
      <c r="J23" s="3" t="n">
        <v>0.001661</v>
      </c>
      <c r="K23" s="3" t="n">
        <v>0.001662</v>
      </c>
      <c r="L23" s="3" t="n">
        <v>0.001662</v>
      </c>
      <c r="M23" s="3" t="n">
        <v>0.001663</v>
      </c>
      <c r="N23" s="3" t="n">
        <v>0.001663</v>
      </c>
      <c r="O23" s="3" t="n">
        <v>0.001665</v>
      </c>
      <c r="P23" s="3" t="n">
        <v>0.001666</v>
      </c>
      <c r="Q23" s="3" t="n">
        <v>0.001668</v>
      </c>
      <c r="R23" s="2" t="inlineStr">
        <is>
          <t>above</t>
        </is>
      </c>
    </row>
    <row r="24">
      <c r="A24" s="2" t="n">
        <v>2111</v>
      </c>
      <c r="B24" s="2" t="n">
        <v>2024</v>
      </c>
      <c r="C24" s="2" t="n">
        <v>1</v>
      </c>
      <c r="D24" s="2" t="n">
        <v>5</v>
      </c>
      <c r="E24" s="2" t="n">
        <v>15</v>
      </c>
      <c r="F24" s="3" t="n">
        <v>0.003061</v>
      </c>
      <c r="G24" s="3" t="n">
        <v>0.003061</v>
      </c>
      <c r="H24" s="3" t="n">
        <v>0.00306</v>
      </c>
      <c r="I24" s="3" t="n">
        <v>0.00306</v>
      </c>
      <c r="J24" s="3" t="n">
        <v>0.003059</v>
      </c>
      <c r="K24" s="3" t="n">
        <v>0.003058</v>
      </c>
      <c r="L24" s="3" t="n">
        <v>0.003057</v>
      </c>
      <c r="M24" s="3" t="n">
        <v>0.003058</v>
      </c>
      <c r="N24" s="3" t="n">
        <v>0.003059</v>
      </c>
      <c r="O24" s="3" t="n">
        <v>0.003062</v>
      </c>
      <c r="P24" s="3" t="n">
        <v>0.003067</v>
      </c>
      <c r="Q24" s="3" t="n">
        <v>0.003072</v>
      </c>
      <c r="R24" s="2" t="inlineStr">
        <is>
          <t>above</t>
        </is>
      </c>
    </row>
    <row r="25">
      <c r="A25" s="2" t="n">
        <v>2112</v>
      </c>
      <c r="B25" s="2" t="n">
        <v>2024</v>
      </c>
      <c r="C25" s="2" t="n">
        <v>1</v>
      </c>
      <c r="D25" s="2" t="n">
        <v>6</v>
      </c>
      <c r="E25" s="2" t="n">
        <v>14</v>
      </c>
      <c r="F25" s="3" t="n">
        <v>0.004439</v>
      </c>
      <c r="G25" s="3" t="n">
        <v>0.004436</v>
      </c>
      <c r="H25" s="3" t="n">
        <v>0.004432</v>
      </c>
      <c r="I25" s="3" t="n">
        <v>0.004428</v>
      </c>
      <c r="J25" s="3" t="n">
        <v>0.004424</v>
      </c>
      <c r="K25" s="3" t="n">
        <v>0.004421</v>
      </c>
      <c r="L25" s="3" t="n">
        <v>0.004419</v>
      </c>
      <c r="M25" s="3" t="n">
        <v>0.004422</v>
      </c>
      <c r="N25" s="3" t="n">
        <v>0.004429</v>
      </c>
      <c r="O25" s="3" t="n">
        <v>0.004441</v>
      </c>
      <c r="P25" s="3" t="n">
        <v>0.004455</v>
      </c>
      <c r="Q25" s="3" t="n">
        <v>0.004472</v>
      </c>
      <c r="R25" s="2" t="inlineStr">
        <is>
          <t>above</t>
        </is>
      </c>
    </row>
    <row r="26">
      <c r="A26" s="2" t="n">
        <v>2113</v>
      </c>
      <c r="B26" s="2" t="n">
        <v>2024</v>
      </c>
      <c r="C26" s="2" t="n">
        <v>1</v>
      </c>
      <c r="D26" s="2" t="n">
        <v>7</v>
      </c>
      <c r="E26" s="2" t="n">
        <v>14</v>
      </c>
      <c r="F26" s="3" t="n">
        <v>0.00608</v>
      </c>
      <c r="G26" s="3" t="n">
        <v>0.006072</v>
      </c>
      <c r="H26" s="3" t="n">
        <v>0.006063</v>
      </c>
      <c r="I26" s="3" t="n">
        <v>0.006053</v>
      </c>
      <c r="J26" s="3" t="n">
        <v>0.006043</v>
      </c>
      <c r="K26" s="3" t="n">
        <v>0.006036</v>
      </c>
      <c r="L26" s="3" t="n">
        <v>0.006031</v>
      </c>
      <c r="M26" s="3" t="n">
        <v>0.006034</v>
      </c>
      <c r="N26" s="3" t="n">
        <v>0.006044</v>
      </c>
      <c r="O26" s="3" t="n">
        <v>0.006061</v>
      </c>
      <c r="P26" s="3" t="n">
        <v>0.006082</v>
      </c>
      <c r="Q26" s="3" t="n">
        <v>0.006106</v>
      </c>
      <c r="R26" s="2" t="inlineStr">
        <is>
          <t>above</t>
        </is>
      </c>
    </row>
    <row r="27">
      <c r="A27" s="2" t="n">
        <v>2114</v>
      </c>
      <c r="B27" s="2" t="n">
        <v>2024</v>
      </c>
      <c r="C27" s="2" t="n">
        <v>1</v>
      </c>
      <c r="D27" s="2" t="n">
        <v>8</v>
      </c>
      <c r="E27" s="2" t="n">
        <v>13</v>
      </c>
      <c r="F27" s="3" t="n">
        <v>0.011237</v>
      </c>
      <c r="G27" s="3" t="n">
        <v>0.011212</v>
      </c>
      <c r="H27" s="3" t="n">
        <v>0.011183</v>
      </c>
      <c r="I27" s="3" t="n">
        <v>0.011156</v>
      </c>
      <c r="J27" s="3" t="n">
        <v>0.011133</v>
      </c>
      <c r="K27" s="3" t="n">
        <v>0.011121</v>
      </c>
      <c r="L27" s="3" t="n">
        <v>0.011129</v>
      </c>
      <c r="M27" s="3" t="n">
        <v>0.011164</v>
      </c>
      <c r="N27" s="3" t="n">
        <v>0.011222</v>
      </c>
      <c r="O27" s="3" t="n">
        <v>0.011296</v>
      </c>
      <c r="P27" s="3" t="n">
        <v>0.011368</v>
      </c>
      <c r="Q27" s="3" t="n">
        <v>0.01143</v>
      </c>
      <c r="R27" s="2" t="inlineStr">
        <is>
          <t>above</t>
        </is>
      </c>
    </row>
    <row r="28">
      <c r="A28" s="2" t="n">
        <v>2115</v>
      </c>
      <c r="B28" s="2" t="n">
        <v>2024</v>
      </c>
      <c r="C28" s="2" t="n">
        <v>1</v>
      </c>
      <c r="D28" s="2" t="n">
        <v>9</v>
      </c>
      <c r="E28" s="2" t="n">
        <v>13</v>
      </c>
      <c r="F28" s="3" t="n">
        <v>0.034328</v>
      </c>
      <c r="G28" s="3" t="n">
        <v>0.034263</v>
      </c>
      <c r="H28" s="3" t="n">
        <v>0.034195</v>
      </c>
      <c r="I28" s="3" t="n">
        <v>0.034132</v>
      </c>
      <c r="J28" s="3" t="n">
        <v>0.034081</v>
      </c>
      <c r="K28" s="3" t="n">
        <v>0.034057</v>
      </c>
      <c r="L28" s="3" t="n">
        <v>0.034079</v>
      </c>
      <c r="M28" s="3" t="n">
        <v>0.03416</v>
      </c>
      <c r="N28" s="3" t="n">
        <v>0.03428</v>
      </c>
      <c r="O28" s="3" t="n">
        <v>0.03442</v>
      </c>
      <c r="P28" s="3" t="n">
        <v>0.034538</v>
      </c>
      <c r="Q28" s="3" t="n">
        <v>0.034621</v>
      </c>
      <c r="R28" s="2" t="inlineStr">
        <is>
          <t>above</t>
        </is>
      </c>
    </row>
    <row r="29">
      <c r="A29" s="2" t="n">
        <v>2116</v>
      </c>
      <c r="B29" s="2" t="n">
        <v>2024</v>
      </c>
      <c r="C29" s="2" t="n">
        <v>1</v>
      </c>
      <c r="D29" s="2" t="n">
        <v>10</v>
      </c>
      <c r="E29" s="2" t="n">
        <v>12</v>
      </c>
      <c r="F29" s="3" t="n">
        <v>0.07697900000000001</v>
      </c>
      <c r="G29" s="3" t="n">
        <v>0.07678699999999999</v>
      </c>
      <c r="H29" s="3" t="n">
        <v>0.076586</v>
      </c>
      <c r="I29" s="3" t="n">
        <v>0.07641299999999999</v>
      </c>
      <c r="J29" s="3" t="n">
        <v>0.07629900000000001</v>
      </c>
      <c r="K29" s="3" t="n">
        <v>0.076283</v>
      </c>
      <c r="L29" s="3" t="n">
        <v>0.07643800000000001</v>
      </c>
      <c r="M29" s="3" t="n">
        <v>0.07675999999999999</v>
      </c>
      <c r="N29" s="3" t="n">
        <v>0.077109</v>
      </c>
      <c r="O29" s="3" t="n">
        <v>0.077418</v>
      </c>
      <c r="P29" s="3" t="n">
        <v>0.07757699999999999</v>
      </c>
      <c r="Q29" s="3" t="n">
        <v>0.077597</v>
      </c>
      <c r="R29" s="2" t="inlineStr">
        <is>
          <t>above</t>
        </is>
      </c>
    </row>
    <row r="30">
      <c r="A30" s="2" t="n">
        <v>2117</v>
      </c>
      <c r="B30" s="2" t="n">
        <v>2024</v>
      </c>
      <c r="C30" s="2" t="n">
        <v>1</v>
      </c>
      <c r="D30" s="2" t="n">
        <v>11</v>
      </c>
      <c r="E30" s="2" t="n">
        <v>11</v>
      </c>
      <c r="F30" s="3" t="n">
        <v>0.066747</v>
      </c>
      <c r="G30" s="3" t="n">
        <v>0.066511</v>
      </c>
      <c r="H30" s="3" t="n">
        <v>0.066223</v>
      </c>
      <c r="I30" s="3" t="n">
        <v>0.06605800000000001</v>
      </c>
      <c r="J30" s="3" t="n">
        <v>0.06614299999999999</v>
      </c>
      <c r="K30" s="3" t="n">
        <v>0.066528</v>
      </c>
      <c r="L30" s="3" t="n">
        <v>0.067535</v>
      </c>
      <c r="M30" s="3" t="n">
        <v>0.06881</v>
      </c>
      <c r="N30" s="3" t="n">
        <v>0.069691</v>
      </c>
      <c r="O30" s="3" t="n">
        <v>0.07025000000000001</v>
      </c>
      <c r="P30" s="3" t="n">
        <v>0.070212</v>
      </c>
      <c r="Q30" s="3" t="n">
        <v>0.069922</v>
      </c>
      <c r="R30" s="2" t="inlineStr">
        <is>
          <t>below</t>
        </is>
      </c>
    </row>
    <row r="31">
      <c r="A31" s="2" t="n">
        <v>2118</v>
      </c>
      <c r="B31" s="2" t="n">
        <v>2024</v>
      </c>
      <c r="C31" s="2" t="n">
        <v>1</v>
      </c>
      <c r="D31" s="2" t="n">
        <v>12</v>
      </c>
      <c r="E31" s="2" t="n">
        <v>11</v>
      </c>
      <c r="F31" s="3" t="n">
        <v>0.088028</v>
      </c>
      <c r="G31" s="3" t="n">
        <v>0.087752</v>
      </c>
      <c r="H31" s="3" t="n">
        <v>0.08697000000000001</v>
      </c>
      <c r="I31" s="3" t="n">
        <v>0.086932</v>
      </c>
      <c r="J31" s="3" t="n">
        <v>0.088045</v>
      </c>
      <c r="K31" s="3" t="n">
        <v>0.090215</v>
      </c>
      <c r="L31" s="3" t="n">
        <v>0.09515899999999999</v>
      </c>
      <c r="M31" s="3" t="n">
        <v>0.100158</v>
      </c>
      <c r="N31" s="3" t="n">
        <v>0.102311</v>
      </c>
      <c r="O31" s="3" t="n">
        <v>0.103306</v>
      </c>
      <c r="P31" s="3" t="n">
        <v>0.101723</v>
      </c>
      <c r="Q31" s="3" t="n">
        <v>0.100089</v>
      </c>
      <c r="R31" s="2" t="inlineStr">
        <is>
          <t>below</t>
        </is>
      </c>
    </row>
    <row r="32">
      <c r="A32" s="2" t="n">
        <v>2119</v>
      </c>
      <c r="B32" s="2" t="n">
        <v>2024</v>
      </c>
      <c r="C32" s="2" t="n">
        <v>1</v>
      </c>
      <c r="D32" s="2" t="n">
        <v>13</v>
      </c>
      <c r="E32" s="2" t="n">
        <v>11</v>
      </c>
      <c r="F32" s="3" t="n">
        <v>0.400578</v>
      </c>
      <c r="G32" s="3" t="n">
        <v>0.435614</v>
      </c>
      <c r="H32" s="3" t="n">
        <v>0.397255</v>
      </c>
      <c r="I32" s="3" t="n">
        <v>0.442261</v>
      </c>
      <c r="J32" s="3" t="n">
        <v>0.527644</v>
      </c>
      <c r="K32" s="3" t="n">
        <v>0.621332</v>
      </c>
      <c r="L32" s="3" t="n">
        <v>0.871883</v>
      </c>
      <c r="M32" s="3" t="n">
        <v>0.978514</v>
      </c>
      <c r="N32" s="3" t="n">
        <v>0.888122</v>
      </c>
      <c r="O32" s="3" t="n">
        <v>0.857134</v>
      </c>
      <c r="P32" s="3" t="n">
        <v>0.687779</v>
      </c>
      <c r="Q32" s="3" t="n">
        <v>0.661384</v>
      </c>
      <c r="R32" s="2" t="inlineStr">
        <is>
          <t>below</t>
        </is>
      </c>
    </row>
    <row r="33">
      <c r="A33" s="2" t="n">
        <v>2120</v>
      </c>
      <c r="B33" s="2" t="n">
        <v>2024</v>
      </c>
      <c r="C33" s="2" t="n">
        <v>1</v>
      </c>
      <c r="D33" s="2" t="n">
        <v>14</v>
      </c>
      <c r="E33" s="2" t="n">
        <v>10</v>
      </c>
      <c r="F33" s="3" t="n">
        <v>0.132101</v>
      </c>
      <c r="G33" s="3" t="n">
        <v>0.130919</v>
      </c>
      <c r="H33" s="3" t="n">
        <v>0.129637</v>
      </c>
      <c r="I33" s="3" t="n">
        <v>0.128657</v>
      </c>
      <c r="J33" s="3" t="n">
        <v>0.128267</v>
      </c>
      <c r="K33" s="3" t="n">
        <v>0.130041</v>
      </c>
      <c r="L33" s="3" t="n">
        <v>0.132853</v>
      </c>
      <c r="M33" s="3" t="n">
        <v>0.136051</v>
      </c>
      <c r="N33" s="3" t="n">
        <v>0.137833</v>
      </c>
      <c r="O33" s="3" t="n">
        <v>0.13882</v>
      </c>
      <c r="P33" s="3" t="n">
        <v>0.138634</v>
      </c>
      <c r="Q33" s="3" t="n">
        <v>0.137391</v>
      </c>
      <c r="R33" s="2" t="inlineStr">
        <is>
          <t>below</t>
        </is>
      </c>
    </row>
    <row r="34">
      <c r="A34" s="2" t="n">
        <v>2121</v>
      </c>
      <c r="B34" s="2" t="n">
        <v>2024</v>
      </c>
      <c r="C34" s="2" t="n">
        <v>1</v>
      </c>
      <c r="D34" s="2" t="n">
        <v>15</v>
      </c>
      <c r="E34" s="2" t="n">
        <v>9</v>
      </c>
      <c r="F34" s="3" t="n">
        <v>0.024393</v>
      </c>
      <c r="G34" s="3" t="n">
        <v>0.024204</v>
      </c>
      <c r="H34" s="3" t="n">
        <v>0.024008</v>
      </c>
      <c r="I34" s="3" t="n">
        <v>0.023838</v>
      </c>
      <c r="J34" s="3" t="n">
        <v>0.023721</v>
      </c>
      <c r="K34" s="3" t="n">
        <v>0.023765</v>
      </c>
      <c r="L34" s="3" t="n">
        <v>0.024003</v>
      </c>
      <c r="M34" s="3" t="n">
        <v>0.024421</v>
      </c>
      <c r="N34" s="3" t="n">
        <v>0.024877</v>
      </c>
      <c r="O34" s="3" t="n">
        <v>0.025321</v>
      </c>
      <c r="P34" s="3" t="n">
        <v>0.025648</v>
      </c>
      <c r="Q34" s="3" t="n">
        <v>0.025837</v>
      </c>
      <c r="R34" s="2" t="inlineStr">
        <is>
          <t>below</t>
        </is>
      </c>
    </row>
    <row r="35">
      <c r="A35" s="2" t="n">
        <v>2122</v>
      </c>
      <c r="B35" s="2" t="n">
        <v>2024</v>
      </c>
      <c r="C35" s="2" t="n">
        <v>1</v>
      </c>
      <c r="D35" s="2" t="n">
        <v>15</v>
      </c>
      <c r="E35" s="2" t="n">
        <v>10</v>
      </c>
      <c r="F35" s="3" t="n">
        <v>0.105611</v>
      </c>
      <c r="G35" s="3" t="n">
        <v>0.104972</v>
      </c>
      <c r="H35" s="3" t="n">
        <v>0.104314</v>
      </c>
      <c r="I35" s="3" t="n">
        <v>0.103743</v>
      </c>
      <c r="J35" s="3" t="n">
        <v>0.103336</v>
      </c>
      <c r="K35" s="3" t="n">
        <v>0.103464</v>
      </c>
      <c r="L35" s="3" t="n">
        <v>0.104034</v>
      </c>
      <c r="M35" s="3" t="n">
        <v>0.104966</v>
      </c>
      <c r="N35" s="3" t="n">
        <v>0.105795</v>
      </c>
      <c r="O35" s="3" t="n">
        <v>0.106445</v>
      </c>
      <c r="P35" s="3" t="n">
        <v>0.10672</v>
      </c>
      <c r="Q35" s="3" t="n">
        <v>0.106584</v>
      </c>
      <c r="R35" s="2" t="inlineStr">
        <is>
          <t>below</t>
        </is>
      </c>
    </row>
    <row r="36">
      <c r="A36" s="2" t="n">
        <v>2123</v>
      </c>
      <c r="B36" s="2" t="n">
        <v>2024</v>
      </c>
      <c r="C36" s="2" t="n">
        <v>1</v>
      </c>
      <c r="D36" s="2" t="n">
        <v>16</v>
      </c>
      <c r="E36" s="2" t="n">
        <v>9</v>
      </c>
      <c r="F36" s="3" t="n">
        <v>0.039616</v>
      </c>
      <c r="G36" s="3" t="n">
        <v>0.039469</v>
      </c>
      <c r="H36" s="3" t="n">
        <v>0.039317</v>
      </c>
      <c r="I36" s="3" t="n">
        <v>0.039183</v>
      </c>
      <c r="J36" s="3" t="n">
        <v>0.039082</v>
      </c>
      <c r="K36" s="3" t="n">
        <v>0.039083</v>
      </c>
      <c r="L36" s="3" t="n">
        <v>0.03923</v>
      </c>
      <c r="M36" s="3" t="n">
        <v>0.03953</v>
      </c>
      <c r="N36" s="3" t="n">
        <v>0.039898</v>
      </c>
      <c r="O36" s="3" t="n">
        <v>0.040283</v>
      </c>
      <c r="P36" s="3" t="n">
        <v>0.040589</v>
      </c>
      <c r="Q36" s="3" t="n">
        <v>0.040787</v>
      </c>
      <c r="R36" s="2" t="inlineStr">
        <is>
          <t>below</t>
        </is>
      </c>
    </row>
    <row r="37">
      <c r="A37" s="2" t="n">
        <v>2124</v>
      </c>
      <c r="B37" s="2" t="n">
        <v>2024</v>
      </c>
      <c r="C37" s="2" t="n">
        <v>1</v>
      </c>
      <c r="D37" s="2" t="n">
        <v>17</v>
      </c>
      <c r="E37" s="2" t="n">
        <v>8</v>
      </c>
      <c r="F37" s="3" t="n">
        <v>0.021981</v>
      </c>
      <c r="G37" s="3" t="n">
        <v>0.021941</v>
      </c>
      <c r="H37" s="3" t="n">
        <v>0.021895</v>
      </c>
      <c r="I37" s="3" t="n">
        <v>0.021851</v>
      </c>
      <c r="J37" s="3" t="n">
        <v>0.021812</v>
      </c>
      <c r="K37" s="3" t="n">
        <v>0.021793</v>
      </c>
      <c r="L37" s="3" t="n">
        <v>0.02181</v>
      </c>
      <c r="M37" s="3" t="n">
        <v>0.021878</v>
      </c>
      <c r="N37" s="3" t="n">
        <v>0.021986</v>
      </c>
      <c r="O37" s="3" t="n">
        <v>0.022124</v>
      </c>
      <c r="P37" s="3" t="n">
        <v>0.02226</v>
      </c>
      <c r="Q37" s="3" t="n">
        <v>0.022379</v>
      </c>
      <c r="R37" s="2" t="inlineStr">
        <is>
          <t>below</t>
        </is>
      </c>
    </row>
    <row r="38">
      <c r="A38" s="2" t="n">
        <v>2125</v>
      </c>
      <c r="B38" s="2" t="n">
        <v>2024</v>
      </c>
      <c r="C38" s="2" t="n">
        <v>1</v>
      </c>
      <c r="D38" s="2" t="n">
        <v>18</v>
      </c>
      <c r="E38" s="2" t="n">
        <v>6</v>
      </c>
      <c r="F38" s="3" t="n">
        <v>0.004189</v>
      </c>
      <c r="G38" s="3" t="n">
        <v>0.004187</v>
      </c>
      <c r="H38" s="3" t="n">
        <v>0.004185</v>
      </c>
      <c r="I38" s="3" t="n">
        <v>0.004181</v>
      </c>
      <c r="J38" s="3" t="n">
        <v>0.004176</v>
      </c>
      <c r="K38" s="3" t="n">
        <v>0.004172</v>
      </c>
      <c r="L38" s="3" t="n">
        <v>0.004169</v>
      </c>
      <c r="M38" s="3" t="n">
        <v>0.004168</v>
      </c>
      <c r="N38" s="3" t="n">
        <v>0.004171</v>
      </c>
      <c r="O38" s="3" t="n">
        <v>0.004178</v>
      </c>
      <c r="P38" s="3" t="n">
        <v>0.004189</v>
      </c>
      <c r="Q38" s="3" t="n">
        <v>0.004203</v>
      </c>
      <c r="R38" s="2" t="inlineStr">
        <is>
          <t>below</t>
        </is>
      </c>
    </row>
    <row r="39">
      <c r="A39" s="2" t="n">
        <v>2126</v>
      </c>
      <c r="B39" s="2" t="n">
        <v>2024</v>
      </c>
      <c r="C39" s="2" t="n">
        <v>1</v>
      </c>
      <c r="D39" s="2" t="n">
        <v>18</v>
      </c>
      <c r="E39" s="2" t="n">
        <v>7</v>
      </c>
      <c r="F39" s="3" t="n">
        <v>0.010208</v>
      </c>
      <c r="G39" s="3" t="n">
        <v>0.010202</v>
      </c>
      <c r="H39" s="3" t="n">
        <v>0.010193</v>
      </c>
      <c r="I39" s="3" t="n">
        <v>0.010183</v>
      </c>
      <c r="J39" s="3" t="n">
        <v>0.010172</v>
      </c>
      <c r="K39" s="3" t="n">
        <v>0.010163</v>
      </c>
      <c r="L39" s="3" t="n">
        <v>0.010162</v>
      </c>
      <c r="M39" s="3" t="n">
        <v>0.010172</v>
      </c>
      <c r="N39" s="3" t="n">
        <v>0.010195</v>
      </c>
      <c r="O39" s="3" t="n">
        <v>0.010232</v>
      </c>
      <c r="P39" s="3" t="n">
        <v>0.010275</v>
      </c>
      <c r="Q39" s="3" t="n">
        <v>0.010323</v>
      </c>
      <c r="R39" s="2" t="inlineStr">
        <is>
          <t>below</t>
        </is>
      </c>
    </row>
    <row r="40">
      <c r="A40" s="2" t="n">
        <v>2127</v>
      </c>
      <c r="B40" s="2" t="n">
        <v>2024</v>
      </c>
      <c r="C40" s="2" t="n">
        <v>1</v>
      </c>
      <c r="D40" s="2" t="n">
        <v>19</v>
      </c>
      <c r="E40" s="2" t="n">
        <v>6</v>
      </c>
      <c r="F40" s="3" t="n">
        <v>0.005094</v>
      </c>
      <c r="G40" s="3" t="n">
        <v>0.005095</v>
      </c>
      <c r="H40" s="3" t="n">
        <v>0.005095</v>
      </c>
      <c r="I40" s="3" t="n">
        <v>0.005094</v>
      </c>
      <c r="J40" s="3" t="n">
        <v>0.005092</v>
      </c>
      <c r="K40" s="3" t="n">
        <v>0.00509</v>
      </c>
      <c r="L40" s="3" t="n">
        <v>0.005089</v>
      </c>
      <c r="M40" s="3" t="n">
        <v>0.00509</v>
      </c>
      <c r="N40" s="3" t="n">
        <v>0.005095</v>
      </c>
      <c r="O40" s="3" t="n">
        <v>0.005105</v>
      </c>
      <c r="P40" s="3" t="n">
        <v>0.005118</v>
      </c>
      <c r="Q40" s="3" t="n">
        <v>0.005134</v>
      </c>
      <c r="R40" s="2" t="inlineStr">
        <is>
          <t>below</t>
        </is>
      </c>
    </row>
    <row r="41">
      <c r="A41" s="2" t="n">
        <v>2128</v>
      </c>
      <c r="B41" s="2" t="n">
        <v>2024</v>
      </c>
      <c r="C41" s="2" t="n">
        <v>1</v>
      </c>
      <c r="D41" s="2" t="n">
        <v>20</v>
      </c>
      <c r="E41" s="2" t="n">
        <v>5</v>
      </c>
      <c r="F41" s="3" t="n">
        <v>0.003129</v>
      </c>
      <c r="G41" s="3" t="n">
        <v>0.00313</v>
      </c>
      <c r="H41" s="3" t="n">
        <v>0.003131</v>
      </c>
      <c r="I41" s="3" t="n">
        <v>0.003132</v>
      </c>
      <c r="J41" s="3" t="n">
        <v>0.003132</v>
      </c>
      <c r="K41" s="3" t="n">
        <v>0.003132</v>
      </c>
      <c r="L41" s="3" t="n">
        <v>0.003132</v>
      </c>
      <c r="M41" s="3" t="n">
        <v>0.003133</v>
      </c>
      <c r="N41" s="3" t="n">
        <v>0.003134</v>
      </c>
      <c r="O41" s="3" t="n">
        <v>0.003136</v>
      </c>
      <c r="P41" s="3" t="n">
        <v>0.003139</v>
      </c>
      <c r="Q41" s="3" t="n">
        <v>0.003144</v>
      </c>
      <c r="R41" s="2" t="inlineStr">
        <is>
          <t>below</t>
        </is>
      </c>
    </row>
    <row r="42">
      <c r="A42" s="2" t="n">
        <v>2129</v>
      </c>
      <c r="B42" s="2" t="n">
        <v>2024</v>
      </c>
      <c r="C42" s="2" t="n">
        <v>1</v>
      </c>
      <c r="D42" s="2" t="n">
        <v>21</v>
      </c>
      <c r="E42" s="2" t="n">
        <v>4</v>
      </c>
      <c r="F42" s="3" t="n">
        <v>0.001587</v>
      </c>
      <c r="G42" s="3" t="n">
        <v>0.001588</v>
      </c>
      <c r="H42" s="3" t="n">
        <v>0.001589</v>
      </c>
      <c r="I42" s="3" t="n">
        <v>0.00159</v>
      </c>
      <c r="J42" s="3" t="n">
        <v>0.001591</v>
      </c>
      <c r="K42" s="3" t="n">
        <v>0.001592</v>
      </c>
      <c r="L42" s="3" t="n">
        <v>0.001593</v>
      </c>
      <c r="M42" s="3" t="n">
        <v>0.001594</v>
      </c>
      <c r="N42" s="3" t="n">
        <v>0.001595</v>
      </c>
      <c r="O42" s="3" t="n">
        <v>0.001596</v>
      </c>
      <c r="P42" s="3" t="n">
        <v>0.001597</v>
      </c>
      <c r="Q42" s="3" t="n">
        <v>0.001599</v>
      </c>
      <c r="R42" s="2" t="inlineStr">
        <is>
          <t>below</t>
        </is>
      </c>
    </row>
    <row r="43">
      <c r="A43" s="2" t="n">
        <v>2130</v>
      </c>
      <c r="B43" s="2" t="n">
        <v>2024</v>
      </c>
      <c r="C43" s="2" t="n">
        <v>1</v>
      </c>
      <c r="D43" s="2" t="n">
        <v>21</v>
      </c>
      <c r="E43" s="2" t="n">
        <v>5</v>
      </c>
      <c r="F43" s="3" t="n">
        <v>0.002137</v>
      </c>
      <c r="G43" s="3" t="n">
        <v>0.00214</v>
      </c>
      <c r="H43" s="3" t="n">
        <v>0.002142</v>
      </c>
      <c r="I43" s="3" t="n">
        <v>0.002144</v>
      </c>
      <c r="J43" s="3" t="n">
        <v>0.002146</v>
      </c>
      <c r="K43" s="3" t="n">
        <v>0.002147</v>
      </c>
      <c r="L43" s="3" t="n">
        <v>0.002149</v>
      </c>
      <c r="M43" s="3" t="n">
        <v>0.00215</v>
      </c>
      <c r="N43" s="3" t="n">
        <v>0.002152</v>
      </c>
      <c r="O43" s="3" t="n">
        <v>0.002154</v>
      </c>
      <c r="P43" s="3" t="n">
        <v>0.002157</v>
      </c>
      <c r="Q43" s="3" t="n">
        <v>0.002161</v>
      </c>
      <c r="R43" s="2" t="inlineStr">
        <is>
          <t>below</t>
        </is>
      </c>
    </row>
    <row r="44">
      <c r="A44" s="2" t="n">
        <v>2131</v>
      </c>
      <c r="B44" s="2" t="n">
        <v>2024</v>
      </c>
      <c r="C44" s="2" t="n">
        <v>1</v>
      </c>
      <c r="D44" s="2" t="n">
        <v>22</v>
      </c>
      <c r="E44" s="2" t="n">
        <v>4</v>
      </c>
      <c r="F44" s="3" t="n">
        <v>0.001596</v>
      </c>
      <c r="G44" s="3" t="n">
        <v>0.001598</v>
      </c>
      <c r="H44" s="3" t="n">
        <v>0.001601</v>
      </c>
      <c r="I44" s="3" t="n">
        <v>0.001603</v>
      </c>
      <c r="J44" s="3" t="n">
        <v>0.001605</v>
      </c>
      <c r="K44" s="3" t="n">
        <v>0.001606</v>
      </c>
      <c r="L44" s="3" t="n">
        <v>0.001608</v>
      </c>
      <c r="M44" s="3" t="n">
        <v>0.00161</v>
      </c>
      <c r="N44" s="3" t="n">
        <v>0.001612</v>
      </c>
      <c r="O44" s="3" t="n">
        <v>0.001614</v>
      </c>
      <c r="P44" s="3" t="n">
        <v>0.001616</v>
      </c>
      <c r="Q44" s="3" t="n">
        <v>0.001618</v>
      </c>
      <c r="R44" s="2" t="inlineStr">
        <is>
          <t>below</t>
        </is>
      </c>
    </row>
    <row r="45">
      <c r="A45" s="2" t="n">
        <v>2132</v>
      </c>
      <c r="B45" s="2" t="n">
        <v>2024</v>
      </c>
      <c r="C45" s="2" t="n">
        <v>1</v>
      </c>
      <c r="D45" s="2" t="n">
        <v>23</v>
      </c>
      <c r="E45" s="2" t="n">
        <v>3</v>
      </c>
      <c r="F45" s="3" t="n">
        <v>0.00055</v>
      </c>
      <c r="G45" s="3" t="n">
        <v>0.00055</v>
      </c>
      <c r="H45" s="3" t="n">
        <v>0.00055</v>
      </c>
      <c r="I45" s="3" t="n">
        <v>0.00055</v>
      </c>
      <c r="J45" s="3" t="n">
        <v>0.00055</v>
      </c>
      <c r="K45" s="3" t="n">
        <v>0.00055</v>
      </c>
      <c r="L45" s="3" t="n">
        <v>0.00055</v>
      </c>
      <c r="M45" s="3" t="n">
        <v>0.00055</v>
      </c>
      <c r="N45" s="3" t="n">
        <v>0.00055</v>
      </c>
      <c r="O45" s="3" t="n">
        <v>0.00055</v>
      </c>
      <c r="P45" s="3" t="n">
        <v>0.00055</v>
      </c>
      <c r="Q45" s="3" t="n">
        <v>0.00055</v>
      </c>
      <c r="R45" s="2" t="inlineStr">
        <is>
          <t>below</t>
        </is>
      </c>
    </row>
    <row r="46">
      <c r="A46" s="2" t="n">
        <v>2135</v>
      </c>
      <c r="B46" s="2" t="n">
        <v>2024</v>
      </c>
      <c r="C46" s="2" t="inlineStr">
        <is>
          <t>0  RI</t>
        </is>
      </c>
      <c r="D46" s="2" t="inlineStr">
        <is>
          <t>O GRA</t>
        </is>
      </c>
      <c r="E46" s="2" t="inlineStr">
        <is>
          <t>NDE</t>
        </is>
      </c>
      <c r="F46" s="3" t="n">
        <v>1.04786</v>
      </c>
      <c r="G46" s="3" t="n">
        <v>1.079896</v>
      </c>
      <c r="H46" s="3" t="n">
        <v>1.037818</v>
      </c>
      <c r="I46" s="3" t="n">
        <v>1.080438</v>
      </c>
      <c r="J46" s="3" t="n">
        <v>1.165755</v>
      </c>
      <c r="K46" s="3" t="n">
        <v>1.263853</v>
      </c>
      <c r="L46" s="3" t="n">
        <v>1.524319</v>
      </c>
      <c r="M46" s="3" t="n">
        <v>1.642601</v>
      </c>
      <c r="N46" s="3" t="n">
        <v>1.559368</v>
      </c>
      <c r="O46" s="3" t="n">
        <v>1.533159</v>
      </c>
      <c r="P46" s="3" t="n">
        <v>1.363513</v>
      </c>
      <c r="Q46" s="3" t="n">
        <v>1.334627</v>
      </c>
    </row>
    <row r="47">
      <c r="A47" s="2" t="n">
        <v>2133</v>
      </c>
      <c r="B47" s="2" t="n">
        <v>2024</v>
      </c>
      <c r="C47" s="2" t="inlineStr">
        <is>
          <t>0  R</t>
        </is>
      </c>
      <c r="D47" s="2" t="inlineStr">
        <is>
          <t>POJOA</t>
        </is>
      </c>
      <c r="E47" s="2" t="inlineStr">
        <is>
          <t>QUE</t>
        </is>
      </c>
      <c r="F47" s="3" t="n">
        <v>0.083581</v>
      </c>
      <c r="G47" s="3" t="n">
        <v>0.083605</v>
      </c>
      <c r="H47" s="3" t="n">
        <v>0.08362700000000001</v>
      </c>
      <c r="I47" s="3" t="n">
        <v>0.083645</v>
      </c>
      <c r="J47" s="3" t="n">
        <v>0.083662</v>
      </c>
      <c r="K47" s="3" t="n">
        <v>0.08368</v>
      </c>
      <c r="L47" s="3" t="n">
        <v>0.083707</v>
      </c>
      <c r="M47" s="3" t="n">
        <v>0.083748</v>
      </c>
      <c r="N47" s="3" t="n">
        <v>0.083804</v>
      </c>
      <c r="O47" s="3" t="n">
        <v>0.083881</v>
      </c>
      <c r="P47" s="3" t="n">
        <v>0.083967</v>
      </c>
      <c r="Q47" s="3" t="n">
        <v>0.084062</v>
      </c>
    </row>
    <row r="48">
      <c r="A48" s="2" t="n">
        <v>2137</v>
      </c>
      <c r="B48" s="2" t="n">
        <v>2024</v>
      </c>
      <c r="C48" s="2" t="inlineStr">
        <is>
          <t>0  LC</t>
        </is>
      </c>
      <c r="D48" s="2" t="inlineStr">
        <is>
          <t>SPRI</t>
        </is>
      </c>
      <c r="E48" s="2" t="inlineStr">
        <is>
          <t>NGS</t>
        </is>
      </c>
      <c r="F48" s="3" t="n">
        <v>0.00503</v>
      </c>
      <c r="G48" s="3" t="n">
        <v>0.005052</v>
      </c>
      <c r="H48" s="3" t="n">
        <v>0.005076</v>
      </c>
      <c r="I48" s="3" t="n">
        <v>0.005098</v>
      </c>
      <c r="J48" s="3" t="n">
        <v>0.005122</v>
      </c>
      <c r="K48" s="3" t="n">
        <v>0.005144</v>
      </c>
      <c r="L48" s="3" t="n">
        <v>0.005166</v>
      </c>
      <c r="M48" s="3" t="n">
        <v>0.005189</v>
      </c>
      <c r="N48" s="3" t="n">
        <v>0.005209</v>
      </c>
      <c r="O48" s="3" t="n">
        <v>0.005231</v>
      </c>
      <c r="P48" s="3" t="n">
        <v>0.005252</v>
      </c>
      <c r="Q48" s="3" t="n">
        <v>0.005273</v>
      </c>
    </row>
    <row r="49">
      <c r="A49" s="2" t="n">
        <v>2134</v>
      </c>
      <c r="B49" s="2" t="n">
        <v>2024</v>
      </c>
      <c r="C49" s="2" t="inlineStr">
        <is>
          <t>0   R</t>
        </is>
      </c>
      <c r="D49" s="2" t="inlineStr">
        <is>
          <t>TESU</t>
        </is>
      </c>
      <c r="E49" s="2" t="inlineStr">
        <is>
          <t>QUE</t>
        </is>
      </c>
      <c r="F49" s="3" t="n">
        <v>0.028195</v>
      </c>
      <c r="G49" s="3" t="n">
        <v>0.028257</v>
      </c>
      <c r="H49" s="3" t="n">
        <v>0.028321</v>
      </c>
      <c r="I49" s="3" t="n">
        <v>0.028381</v>
      </c>
      <c r="J49" s="3" t="n">
        <v>0.02844</v>
      </c>
      <c r="K49" s="3" t="n">
        <v>0.028496</v>
      </c>
      <c r="L49" s="3" t="n">
        <v>0.028552</v>
      </c>
      <c r="M49" s="3" t="n">
        <v>0.028607</v>
      </c>
      <c r="N49" s="3" t="n">
        <v>0.028662</v>
      </c>
      <c r="O49" s="3" t="n">
        <v>0.02872</v>
      </c>
      <c r="P49" s="3" t="n">
        <v>0.02878</v>
      </c>
      <c r="Q49" s="3" t="n">
        <v>0.028846</v>
      </c>
    </row>
    <row r="50">
      <c r="A50" s="2" t="n">
        <v>2136</v>
      </c>
      <c r="B50" s="2" t="n">
        <v>2024</v>
      </c>
      <c r="C50" s="2" t="inlineStr">
        <is>
          <t>0  RI</t>
        </is>
      </c>
      <c r="D50" s="2" t="inlineStr">
        <is>
          <t>V  TO</t>
        </is>
      </c>
      <c r="E50" s="2" t="inlineStr">
        <is>
          <t>TAL</t>
        </is>
      </c>
      <c r="F50" s="3" t="n">
        <v>1.159637</v>
      </c>
      <c r="G50" s="3" t="n">
        <v>1.191758</v>
      </c>
      <c r="H50" s="3" t="n">
        <v>1.149766</v>
      </c>
      <c r="I50" s="3" t="n">
        <v>1.192464</v>
      </c>
      <c r="J50" s="3" t="n">
        <v>1.277857</v>
      </c>
      <c r="K50" s="3" t="n">
        <v>1.376029</v>
      </c>
      <c r="L50" s="3" t="n">
        <v>1.636577</v>
      </c>
      <c r="M50" s="3" t="n">
        <v>1.754956</v>
      </c>
      <c r="N50" s="3" t="n">
        <v>1.671834</v>
      </c>
      <c r="O50" s="3" t="n">
        <v>1.64576</v>
      </c>
      <c r="P50" s="3" t="n">
        <v>1.476259</v>
      </c>
      <c r="Q50" s="3" t="n">
        <v>1.447535</v>
      </c>
    </row>
    <row r="51">
      <c r="F51" s="2" t="inlineStr">
        <is>
          <t>jan</t>
        </is>
      </c>
      <c r="G51" s="2" t="inlineStr">
        <is>
          <t>feb</t>
        </is>
      </c>
      <c r="H51" s="2" t="inlineStr">
        <is>
          <t>mar</t>
        </is>
      </c>
      <c r="I51" s="2" t="inlineStr">
        <is>
          <t>apr</t>
        </is>
      </c>
      <c r="J51" s="2" t="inlineStr">
        <is>
          <t>may</t>
        </is>
      </c>
      <c r="K51" s="2" t="inlineStr">
        <is>
          <t>jun</t>
        </is>
      </c>
      <c r="L51" s="2" t="inlineStr">
        <is>
          <t>jul</t>
        </is>
      </c>
      <c r="M51" s="2" t="inlineStr">
        <is>
          <t>aug</t>
        </is>
      </c>
      <c r="N51" s="2" t="inlineStr">
        <is>
          <t>sep</t>
        </is>
      </c>
      <c r="O51" s="2" t="inlineStr">
        <is>
          <t>oct</t>
        </is>
      </c>
      <c r="P51" s="2" t="inlineStr">
        <is>
          <t>nov</t>
        </is>
      </c>
      <c r="Q51" s="2" t="inlineStr">
        <is>
          <t>dec</t>
        </is>
      </c>
    </row>
    <row r="52">
      <c r="E52" s="2" t="inlineStr">
        <is>
          <t>cfs</t>
        </is>
      </c>
      <c r="F52" s="2" t="n">
        <v>31</v>
      </c>
      <c r="G52" s="2" t="n">
        <v>28</v>
      </c>
      <c r="H52" s="2" t="n">
        <v>31</v>
      </c>
      <c r="I52" s="2" t="n">
        <v>30</v>
      </c>
      <c r="J52" s="2" t="n">
        <v>31</v>
      </c>
      <c r="K52" s="2" t="n">
        <v>30</v>
      </c>
      <c r="L52" s="2" t="n">
        <v>31</v>
      </c>
      <c r="M52" s="2" t="n">
        <v>31</v>
      </c>
      <c r="N52" s="2" t="n">
        <v>30</v>
      </c>
      <c r="O52" s="2" t="n">
        <v>31</v>
      </c>
      <c r="P52" s="2" t="n">
        <v>30</v>
      </c>
      <c r="Q52" s="2" t="n">
        <v>31</v>
      </c>
    </row>
    <row r="53">
      <c r="C53" s="2" t="inlineStr">
        <is>
          <t>Rio Grande above Otowi</t>
        </is>
      </c>
      <c r="F53" s="4">
        <f>SUM(F20:F29)</f>
        <v/>
      </c>
      <c r="G53" s="4">
        <f>SUM(G20:G29)</f>
        <v/>
      </c>
      <c r="H53" s="4">
        <f>SUM(H20:H29)</f>
        <v/>
      </c>
      <c r="I53" s="4">
        <f>SUM(I20:I29)</f>
        <v/>
      </c>
      <c r="J53" s="4">
        <f>SUM(J20:J29)</f>
        <v/>
      </c>
      <c r="K53" s="4">
        <f>SUM(K20:K29)</f>
        <v/>
      </c>
      <c r="L53" s="4">
        <f>SUM(L20:L29)</f>
        <v/>
      </c>
      <c r="M53" s="4">
        <f>SUM(M20:M29)</f>
        <v/>
      </c>
      <c r="N53" s="4">
        <f>SUM(N20:N29)</f>
        <v/>
      </c>
      <c r="O53" s="4">
        <f>SUM(O20:O29)</f>
        <v/>
      </c>
      <c r="P53" s="4">
        <f>SUM(P20:P29)</f>
        <v/>
      </c>
      <c r="Q53" s="4">
        <f>SUM(Q20:Q29)</f>
        <v/>
      </c>
    </row>
    <row r="54">
      <c r="C54" s="2" t="inlineStr">
        <is>
          <t>Rio Grande below Otowi</t>
        </is>
      </c>
      <c r="F54" s="4">
        <f>SUM(F30:F45)</f>
        <v/>
      </c>
      <c r="G54" s="4">
        <f>SUM(G30:G45)</f>
        <v/>
      </c>
      <c r="H54" s="4">
        <f>SUM(H30:H45)</f>
        <v/>
      </c>
      <c r="I54" s="4">
        <f>SUM(I30:I45)</f>
        <v/>
      </c>
      <c r="J54" s="4">
        <f>SUM(J30:J45)</f>
        <v/>
      </c>
      <c r="K54" s="4">
        <f>SUM(K30:K45)</f>
        <v/>
      </c>
      <c r="L54" s="4">
        <f>SUM(L30:L45)</f>
        <v/>
      </c>
      <c r="M54" s="4">
        <f>SUM(M30:M45)</f>
        <v/>
      </c>
      <c r="N54" s="4">
        <f>SUM(N30:N45)</f>
        <v/>
      </c>
      <c r="O54" s="4">
        <f>SUM(O30:O45)</f>
        <v/>
      </c>
      <c r="P54" s="4">
        <f>SUM(P30:P45)</f>
        <v/>
      </c>
      <c r="Q54" s="4">
        <f>SUM(Q30:Q45)</f>
        <v/>
      </c>
    </row>
    <row r="55">
      <c r="F55" s="5" t="inlineStr">
        <is>
          <t>JAN</t>
        </is>
      </c>
      <c r="G55" s="5" t="inlineStr">
        <is>
          <t>FEB</t>
        </is>
      </c>
      <c r="H55" s="5" t="inlineStr">
        <is>
          <t>MAR</t>
        </is>
      </c>
      <c r="I55" s="5" t="inlineStr">
        <is>
          <t>APR</t>
        </is>
      </c>
      <c r="J55" s="5" t="inlineStr">
        <is>
          <t>MAY</t>
        </is>
      </c>
      <c r="K55" s="5" t="inlineStr">
        <is>
          <t>JUN</t>
        </is>
      </c>
      <c r="L55" s="5" t="inlineStr">
        <is>
          <t>JUL</t>
        </is>
      </c>
      <c r="M55" s="5" t="inlineStr">
        <is>
          <t>AUG</t>
        </is>
      </c>
      <c r="N55" s="5" t="inlineStr">
        <is>
          <t>SEP</t>
        </is>
      </c>
      <c r="O55" s="5" t="inlineStr">
        <is>
          <t>OCT</t>
        </is>
      </c>
      <c r="P55" s="5" t="inlineStr">
        <is>
          <t>NOV</t>
        </is>
      </c>
      <c r="Q55" s="5" t="inlineStr">
        <is>
          <t>DEC</t>
        </is>
      </c>
      <c r="R55" s="5" t="inlineStr">
        <is>
          <t>Total</t>
        </is>
      </c>
    </row>
    <row r="56">
      <c r="C56" s="2" t="inlineStr">
        <is>
          <t>Rio Grande above Otowi</t>
        </is>
      </c>
      <c r="E56" s="2" t="inlineStr">
        <is>
          <t>Above Otowi</t>
        </is>
      </c>
      <c r="F56" s="6">
        <f>F53*60*60*24*F$52/43560</f>
        <v/>
      </c>
      <c r="G56" s="6">
        <f>G53*60*60*24*G$52/43560</f>
        <v/>
      </c>
      <c r="H56" s="6">
        <f>H53*60*60*24*H$52/43560</f>
        <v/>
      </c>
      <c r="I56" s="6">
        <f>I53*60*60*24*I$52/43560</f>
        <v/>
      </c>
      <c r="J56" s="6">
        <f>J53*60*60*24*J$52/43560</f>
        <v/>
      </c>
      <c r="K56" s="6">
        <f>K53*60*60*24*K$52/43560</f>
        <v/>
      </c>
      <c r="L56" s="6">
        <f>L53*60*60*24*L$52/43560</f>
        <v/>
      </c>
      <c r="M56" s="6">
        <f>M53*60*60*24*M$52/43560</f>
        <v/>
      </c>
      <c r="N56" s="6">
        <f>N53*60*60*24*N$52/43560</f>
        <v/>
      </c>
      <c r="O56" s="6">
        <f>O53*60*60*24*O$52/43560</f>
        <v/>
      </c>
      <c r="P56" s="6">
        <f>P53*60*60*24*P$52/43560</f>
        <v/>
      </c>
      <c r="Q56" s="6">
        <f>Q53*60*60*24*Q$52/43560</f>
        <v/>
      </c>
      <c r="R56" s="7">
        <f>SUM(F56:Q56)</f>
        <v/>
      </c>
    </row>
    <row r="57">
      <c r="C57" s="2" t="inlineStr">
        <is>
          <t>Rio Grande below Otowi</t>
        </is>
      </c>
      <c r="E57" s="2" t="inlineStr">
        <is>
          <t>Below Otowi</t>
        </is>
      </c>
      <c r="F57" s="6">
        <f>F54*60*60*24*F$52/43560</f>
        <v/>
      </c>
      <c r="G57" s="6">
        <f>G54*60*60*24*G$52/43560</f>
        <v/>
      </c>
      <c r="H57" s="6">
        <f>H54*60*60*24*H$52/43560</f>
        <v/>
      </c>
      <c r="I57" s="6">
        <f>I54*60*60*24*I$52/43560</f>
        <v/>
      </c>
      <c r="J57" s="6">
        <f>J54*60*60*24*J$52/43560</f>
        <v/>
      </c>
      <c r="K57" s="6">
        <f>K54*60*60*24*K$52/43560</f>
        <v/>
      </c>
      <c r="L57" s="6">
        <f>L54*60*60*24*L$52/43560</f>
        <v/>
      </c>
      <c r="M57" s="6">
        <f>M54*60*60*24*M$52/43560</f>
        <v/>
      </c>
      <c r="N57" s="6">
        <f>N54*60*60*24*N$52/43560</f>
        <v/>
      </c>
      <c r="O57" s="6">
        <f>O54*60*60*24*O$52/43560</f>
        <v/>
      </c>
      <c r="P57" s="6">
        <f>P54*60*60*24*P$52/43560</f>
        <v/>
      </c>
      <c r="Q57" s="6">
        <f>Q54*60*60*24*Q$52/43560</f>
        <v/>
      </c>
      <c r="R57" s="7">
        <f>SUM(F57:Q57)</f>
        <v/>
      </c>
    </row>
    <row r="58">
      <c r="C58" s="2" t="inlineStr">
        <is>
          <t>Total RG (sum)</t>
        </is>
      </c>
      <c r="F58" s="6">
        <f>SUM(F56:F57)</f>
        <v/>
      </c>
      <c r="G58" s="6">
        <f>SUM(G56:G57)</f>
        <v/>
      </c>
      <c r="H58" s="6">
        <f>SUM(H56:H57)</f>
        <v/>
      </c>
      <c r="I58" s="6">
        <f>SUM(I56:I57)</f>
        <v/>
      </c>
      <c r="J58" s="6">
        <f>SUM(J56:J57)</f>
        <v/>
      </c>
      <c r="K58" s="6">
        <f>SUM(K56:K57)</f>
        <v/>
      </c>
      <c r="L58" s="6">
        <f>SUM(L56:L57)</f>
        <v/>
      </c>
      <c r="M58" s="6">
        <f>SUM(M56:M57)</f>
        <v/>
      </c>
      <c r="N58" s="6">
        <f>SUM(N56:N57)</f>
        <v/>
      </c>
      <c r="O58" s="6">
        <f>SUM(O56:O57)</f>
        <v/>
      </c>
      <c r="P58" s="6">
        <f>SUM(P56:P57)</f>
        <v/>
      </c>
      <c r="Q58" s="6">
        <f>SUM(Q56:Q57)</f>
        <v/>
      </c>
      <c r="R58" s="2" t="inlineStr">
        <is>
          <t>check</t>
        </is>
      </c>
    </row>
    <row r="59">
      <c r="C59" s="2" t="inlineStr">
        <is>
          <t>Total RG reported</t>
        </is>
      </c>
      <c r="F59" s="6">
        <f>F46*60*60*24*F$52/43560</f>
        <v/>
      </c>
      <c r="G59" s="6">
        <f>G46*60*60*24*G$52/43560</f>
        <v/>
      </c>
      <c r="H59" s="6">
        <f>H46*60*60*24*H$52/43560</f>
        <v/>
      </c>
      <c r="I59" s="6">
        <f>I46*60*60*24*I$52/43560</f>
        <v/>
      </c>
      <c r="J59" s="6">
        <f>J46*60*60*24*J$52/43560</f>
        <v/>
      </c>
      <c r="K59" s="6">
        <f>K46*60*60*24*K$52/43560</f>
        <v/>
      </c>
      <c r="L59" s="6">
        <f>L46*60*60*24*L$52/43560</f>
        <v/>
      </c>
      <c r="M59" s="6">
        <f>M46*60*60*24*M$52/43560</f>
        <v/>
      </c>
      <c r="N59" s="6">
        <f>N46*60*60*24*N$52/43560</f>
        <v/>
      </c>
      <c r="O59" s="6">
        <f>O46*60*60*24*O$52/43560</f>
        <v/>
      </c>
      <c r="P59" s="6">
        <f>P46*60*60*24*P$52/43560</f>
        <v/>
      </c>
      <c r="Q59" s="6">
        <f>Q46*60*60*24*Q$52/43560</f>
        <v/>
      </c>
      <c r="R59" s="2" t="inlineStr">
        <is>
          <t>check</t>
        </is>
      </c>
    </row>
    <row r="60">
      <c r="C60" s="8" t="inlineStr">
        <is>
          <t>3 wells closest to 
Rio Grande:
Buckman 1, 7, 8; Row 13, Column 11</t>
        </is>
      </c>
      <c r="F60" s="6">
        <f>F32*60*60*24*F$52/43560</f>
        <v/>
      </c>
      <c r="G60" s="6">
        <f>G32*60*60*24*G$52/43560</f>
        <v/>
      </c>
      <c r="H60" s="6">
        <f>H32*60*60*24*H$52/43560</f>
        <v/>
      </c>
      <c r="I60" s="6">
        <f>I32*60*60*24*I$52/43560</f>
        <v/>
      </c>
      <c r="J60" s="6">
        <f>J32*60*60*24*J$52/43560</f>
        <v/>
      </c>
      <c r="K60" s="6">
        <f>K32*60*60*24*K$52/43560</f>
        <v/>
      </c>
      <c r="L60" s="6">
        <f>L32*60*60*24*L$52/43560</f>
        <v/>
      </c>
      <c r="M60" s="6">
        <f>M32*60*60*24*M$52/43560</f>
        <v/>
      </c>
      <c r="N60" s="6">
        <f>N32*60*60*24*N$52/43560</f>
        <v/>
      </c>
      <c r="O60" s="6">
        <f>O32*60*60*24*O$52/43560</f>
        <v/>
      </c>
      <c r="P60" s="6">
        <f>P32*60*60*24*P$52/43560</f>
        <v/>
      </c>
      <c r="Q60" s="6">
        <f>Q32*60*60*24*Q$52/43560</f>
        <v/>
      </c>
      <c r="R60" s="7">
        <f>SUM(F60:Q60)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2026-02-10T17:59:30Z</dcterms:created>
  <dcterms:modified xmlns:dcterms="http://purl.org/dc/terms/" xmlns:xsi="http://www.w3.org/2001/XMLSchema-instance" xsi:type="dcterms:W3CDTF">2026-02-10T17:59:30Z</dcterms:modified>
</cp:coreProperties>
</file>