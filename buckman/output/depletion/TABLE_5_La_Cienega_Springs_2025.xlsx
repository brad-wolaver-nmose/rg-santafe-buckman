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 - La Cienega Sp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b val="1"/>
      <i val="1"/>
      <color rgb="00808080"/>
      <sz val="9"/>
    </font>
    <font>
      <name val="Aptos"/>
      <sz val="11"/>
    </font>
    <font>
      <name val="Aptos"/>
      <i val="1"/>
      <color rgb="0080808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bottom style="hair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 ht="18" customHeight="1">
      <c r="A1" s="1" t="inlineStr">
        <is>
          <t>Year</t>
        </is>
      </c>
      <c r="B1" s="1" t="inlineStr">
        <is>
          <t>Total</t>
        </is>
      </c>
      <c r="C1" s="2" t="inlineStr">
        <is>
          <t>Annual Δ (AF)</t>
        </is>
      </c>
      <c r="D1" s="2" t="inlineStr">
        <is>
          <t>Cumul check</t>
        </is>
      </c>
      <c r="E1" s="2" t="inlineStr">
        <is>
          <t>Δ (B−D)</t>
        </is>
      </c>
    </row>
    <row r="2">
      <c r="A2" s="3" t="n">
        <v>2004</v>
      </c>
      <c r="B2" s="4" t="n">
        <v>0.45</v>
      </c>
      <c r="C2" s="5">
        <f>B2</f>
        <v/>
      </c>
      <c r="D2" s="5">
        <f>C2</f>
        <v/>
      </c>
      <c r="E2" s="5">
        <f>B2-D2</f>
        <v/>
      </c>
    </row>
    <row r="3">
      <c r="A3" s="3" t="n">
        <v>2005</v>
      </c>
      <c r="B3" s="4" t="n">
        <v>0.66</v>
      </c>
      <c r="C3" s="5">
        <f>B3-B2</f>
        <v/>
      </c>
      <c r="D3" s="5">
        <f>D2+C3</f>
        <v/>
      </c>
      <c r="E3" s="5">
        <f>B3-D3</f>
        <v/>
      </c>
    </row>
    <row r="4">
      <c r="A4" s="3" t="n">
        <v>2006</v>
      </c>
      <c r="B4" s="4" t="n">
        <v>0.83</v>
      </c>
      <c r="C4" s="5">
        <f>B4-B3</f>
        <v/>
      </c>
      <c r="D4" s="5">
        <f>D3+C4</f>
        <v/>
      </c>
      <c r="E4" s="5">
        <f>B4-D4</f>
        <v/>
      </c>
    </row>
    <row r="5">
      <c r="A5" s="3" t="n">
        <v>2007</v>
      </c>
      <c r="B5" s="4" t="n">
        <v>0.99</v>
      </c>
      <c r="C5" s="5">
        <f>B5-B4</f>
        <v/>
      </c>
      <c r="D5" s="5">
        <f>D4+C5</f>
        <v/>
      </c>
      <c r="E5" s="5">
        <f>B5-D5</f>
        <v/>
      </c>
    </row>
    <row r="6">
      <c r="A6" s="3" t="n">
        <v>2008</v>
      </c>
      <c r="B6" s="4" t="n">
        <v>1.16</v>
      </c>
      <c r="C6" s="5">
        <f>B6-B5</f>
        <v/>
      </c>
      <c r="D6" s="5">
        <f>D5+C6</f>
        <v/>
      </c>
      <c r="E6" s="5">
        <f>B6-D6</f>
        <v/>
      </c>
    </row>
    <row r="7">
      <c r="A7" s="3" t="n">
        <v>2009</v>
      </c>
      <c r="B7" s="4" t="n">
        <v>1.32</v>
      </c>
      <c r="C7" s="5">
        <f>B7-B6</f>
        <v/>
      </c>
      <c r="D7" s="5">
        <f>D6+C7</f>
        <v/>
      </c>
      <c r="E7" s="5">
        <f>B7-D7</f>
        <v/>
      </c>
    </row>
    <row r="8">
      <c r="A8" s="3" t="n">
        <v>2010</v>
      </c>
      <c r="B8" s="4" t="n">
        <v>1.49</v>
      </c>
      <c r="C8" s="5">
        <f>B8-B7</f>
        <v/>
      </c>
      <c r="D8" s="5">
        <f>D7+C8</f>
        <v/>
      </c>
      <c r="E8" s="5">
        <f>B8-D8</f>
        <v/>
      </c>
    </row>
    <row r="9">
      <c r="A9" s="3" t="n">
        <v>2011</v>
      </c>
      <c r="B9" s="4" t="n">
        <v>1.65</v>
      </c>
      <c r="C9" s="5">
        <f>B9-B8</f>
        <v/>
      </c>
      <c r="D9" s="5">
        <f>D8+C9</f>
        <v/>
      </c>
      <c r="E9" s="5">
        <f>B9-D9</f>
        <v/>
      </c>
    </row>
    <row r="10">
      <c r="A10" s="3" t="n">
        <v>2012</v>
      </c>
      <c r="B10" s="4" t="n">
        <v>1.82</v>
      </c>
      <c r="C10" s="5">
        <f>B10-B9</f>
        <v/>
      </c>
      <c r="D10" s="5">
        <f>D9+C10</f>
        <v/>
      </c>
      <c r="E10" s="5">
        <f>B10-D10</f>
        <v/>
      </c>
    </row>
    <row r="11">
      <c r="A11" s="3" t="n">
        <v>2013</v>
      </c>
      <c r="B11" s="4" t="n">
        <v>1.97</v>
      </c>
      <c r="C11" s="5">
        <f>B11-B10</f>
        <v/>
      </c>
      <c r="D11" s="5">
        <f>D10+C11</f>
        <v/>
      </c>
      <c r="E11" s="5">
        <f>B11-D11</f>
        <v/>
      </c>
    </row>
    <row r="12">
      <c r="A12" s="3" t="n">
        <v>2014</v>
      </c>
      <c r="B12" s="4" t="n">
        <v>2.13</v>
      </c>
      <c r="C12" s="5">
        <f>B12-B11</f>
        <v/>
      </c>
      <c r="D12" s="5">
        <f>D11+C12</f>
        <v/>
      </c>
      <c r="E12" s="5">
        <f>B12-D12</f>
        <v/>
      </c>
    </row>
    <row r="13">
      <c r="A13" s="3" t="n">
        <v>2015</v>
      </c>
      <c r="B13" s="4" t="n">
        <v>2.29</v>
      </c>
      <c r="C13" s="5">
        <f>B13-B12</f>
        <v/>
      </c>
      <c r="D13" s="5">
        <f>D12+C13</f>
        <v/>
      </c>
      <c r="E13" s="5">
        <f>B13-D13</f>
        <v/>
      </c>
    </row>
    <row r="14">
      <c r="A14" s="3" t="n">
        <v>2016</v>
      </c>
      <c r="B14" s="4" t="n">
        <v>2.45</v>
      </c>
      <c r="C14" s="5">
        <f>B14-B13</f>
        <v/>
      </c>
      <c r="D14" s="5">
        <f>D13+C14</f>
        <v/>
      </c>
      <c r="E14" s="5">
        <f>B14-D14</f>
        <v/>
      </c>
    </row>
    <row r="15">
      <c r="A15" s="3" t="n">
        <v>2017</v>
      </c>
      <c r="B15" s="4" t="n">
        <v>2.6</v>
      </c>
      <c r="C15" s="5">
        <f>B15-B14</f>
        <v/>
      </c>
      <c r="D15" s="5">
        <f>D14+C15</f>
        <v/>
      </c>
      <c r="E15" s="5">
        <f>B15-D15</f>
        <v/>
      </c>
    </row>
    <row r="16">
      <c r="A16" s="3" t="n">
        <v>2018</v>
      </c>
      <c r="B16" s="4" t="n">
        <v>2.75</v>
      </c>
      <c r="C16" s="5">
        <f>B16-B15</f>
        <v/>
      </c>
      <c r="D16" s="5">
        <f>D15+C16</f>
        <v/>
      </c>
      <c r="E16" s="5">
        <f>B16-D16</f>
        <v/>
      </c>
    </row>
    <row r="17">
      <c r="A17" s="3" t="n">
        <v>2019</v>
      </c>
      <c r="B17" s="4" t="n">
        <v>2.9</v>
      </c>
      <c r="C17" s="5">
        <f>B17-B16</f>
        <v/>
      </c>
      <c r="D17" s="5">
        <f>D16+C17</f>
        <v/>
      </c>
      <c r="E17" s="5">
        <f>B17-D17</f>
        <v/>
      </c>
    </row>
    <row r="18">
      <c r="A18" s="3" t="n">
        <v>2020</v>
      </c>
      <c r="B18" s="4" t="n">
        <v>3.06</v>
      </c>
      <c r="C18" s="5">
        <f>B18-B17</f>
        <v/>
      </c>
      <c r="D18" s="5">
        <f>D17+C18</f>
        <v/>
      </c>
      <c r="E18" s="5">
        <f>B18-D18</f>
        <v/>
      </c>
    </row>
    <row r="19">
      <c r="A19" s="3" t="n">
        <v>2021</v>
      </c>
      <c r="B19" s="4" t="n">
        <v>3.21</v>
      </c>
      <c r="C19" s="5">
        <f>B19-B18</f>
        <v/>
      </c>
      <c r="D19" s="5">
        <f>D18+C19</f>
        <v/>
      </c>
      <c r="E19" s="5">
        <f>B19-D19</f>
        <v/>
      </c>
    </row>
    <row r="20">
      <c r="A20" s="3" t="n">
        <v>2022</v>
      </c>
      <c r="B20" s="4" t="n">
        <v>3.37</v>
      </c>
      <c r="C20" s="5">
        <f>B20-B19</f>
        <v/>
      </c>
      <c r="D20" s="5">
        <f>D19+C20</f>
        <v/>
      </c>
      <c r="E20" s="5">
        <f>B20-D20</f>
        <v/>
      </c>
    </row>
    <row r="21">
      <c r="A21" s="3" t="n">
        <v>2023</v>
      </c>
      <c r="B21" s="4" t="n">
        <v>3.54</v>
      </c>
      <c r="C21" s="5">
        <f>B21-B20</f>
        <v/>
      </c>
      <c r="D21" s="5">
        <f>D20+C21</f>
        <v/>
      </c>
      <c r="E21" s="5">
        <f>B21-D21</f>
        <v/>
      </c>
    </row>
    <row r="22">
      <c r="A22" s="3" t="n">
        <v>2024</v>
      </c>
      <c r="B22" s="4" t="n">
        <v>3.741411570247934</v>
      </c>
      <c r="C22" s="5">
        <f>B22-B21</f>
        <v/>
      </c>
      <c r="D22" s="5">
        <f>D21+C22</f>
        <v/>
      </c>
      <c r="E22" s="5">
        <f>B22-D22</f>
        <v/>
      </c>
    </row>
    <row r="23">
      <c r="A23" s="3" t="n">
        <v>2025</v>
      </c>
      <c r="B23" s="4" t="n">
        <v>3.919555041322313</v>
      </c>
      <c r="C23" s="5">
        <f>B23-B22</f>
        <v/>
      </c>
      <c r="D23" s="5">
        <f>D22+C23</f>
        <v/>
      </c>
      <c r="E23" s="5">
        <f>B23-D23</f>
        <v/>
      </c>
    </row>
    <row r="24">
      <c r="A24" s="3" t="n">
        <v>2026</v>
      </c>
      <c r="B24" s="4" t="n">
        <v>4.107590082644628</v>
      </c>
      <c r="C24" s="5">
        <f>B24-B23</f>
        <v/>
      </c>
      <c r="D24" s="5">
        <f>D23+C24</f>
        <v/>
      </c>
      <c r="E24" s="5">
        <f>B24-D24</f>
        <v/>
      </c>
    </row>
    <row r="25">
      <c r="A25" s="3" t="n">
        <v>2027</v>
      </c>
      <c r="B25" s="4" t="n">
        <v>4.286211570247934</v>
      </c>
      <c r="C25" s="5">
        <f>B25-B24</f>
        <v/>
      </c>
      <c r="D25" s="5">
        <f>D24+C25</f>
        <v/>
      </c>
      <c r="E25" s="5">
        <f>B25-D25</f>
        <v/>
      </c>
    </row>
    <row r="26">
      <c r="A26" s="3" t="n">
        <v>2028</v>
      </c>
      <c r="B26" s="4" t="n">
        <v>4.475813553719008</v>
      </c>
      <c r="C26" s="5">
        <f>B26-B25</f>
        <v/>
      </c>
      <c r="D26" s="5">
        <f>D25+C26</f>
        <v/>
      </c>
      <c r="E26" s="5">
        <f>B26-D26</f>
        <v/>
      </c>
    </row>
    <row r="27">
      <c r="A27" s="3" t="n">
        <v>2029</v>
      </c>
      <c r="B27" s="4" t="n">
        <v>4.642893223140495</v>
      </c>
      <c r="C27" s="5">
        <f>B27-B26</f>
        <v/>
      </c>
      <c r="D27" s="5">
        <f>D26+C27</f>
        <v/>
      </c>
      <c r="E27" s="5">
        <f>B27-D27</f>
        <v/>
      </c>
    </row>
    <row r="28">
      <c r="A28" s="3" t="n">
        <v>2030</v>
      </c>
      <c r="B28" s="4" t="n">
        <v>4.822437024793389</v>
      </c>
      <c r="C28" s="5">
        <f>B28-B27</f>
        <v/>
      </c>
      <c r="D28" s="5">
        <f>D27+C28</f>
        <v/>
      </c>
      <c r="E28" s="5">
        <f>B28-D28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2026-04-08T16:27:03Z</dcterms:created>
  <dcterms:modified xmlns:dcterms="http://purl.org/dc/terms/" xmlns:xsi="http://www.w3.org/2001/XMLSchema-instance" xsi:type="dcterms:W3CDTF">2026-04-08T16:27:03Z</dcterms:modified>
</cp:coreProperties>
</file>