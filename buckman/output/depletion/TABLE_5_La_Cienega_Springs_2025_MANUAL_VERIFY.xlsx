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output\depletion\"/>
    </mc:Choice>
  </mc:AlternateContent>
  <xr:revisionPtr revIDLastSave="0" documentId="8_{9B8E555B-0E7E-49AC-8755-EFE52C079981}" xr6:coauthVersionLast="47" xr6:coauthVersionMax="47" xr10:uidLastSave="{00000000-0000-0000-0000-000000000000}"/>
  <bookViews>
    <workbookView xWindow="3840" yWindow="2985" windowWidth="21600" windowHeight="10200" xr2:uid="{426634BA-25F1-4222-ABB1-E9298ECFE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<sst xmlns="http://schemas.openxmlformats.org/spreadsheetml/2006/main" count="11" uniqueCount="11">
  <si>
    <t xml:space="preserve">jan </t>
  </si>
  <si>
    <t>mar</t>
  </si>
  <si>
    <t>may</t>
  </si>
  <si>
    <t>july</t>
  </si>
  <si>
    <t>sep</t>
  </si>
  <si>
    <t>nov</t>
  </si>
  <si>
    <t>LC SPRINGS</t>
  </si>
  <si>
    <t>cfs</t>
  </si>
  <si>
    <t>af</t>
  </si>
  <si>
    <t>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</si>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</sst>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0"/>
  </numFmts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B48B-76C3-4FF4-B9A1-ABD21CD78361}">
  <dimension ref="A1:O4"/>
  <sheetViews>
    <sheetView tabSelected="1" workbookViewId="0">
      <selection activeCell="O5" sqref="O5"/>
    </sheetView>
  </sheetViews>
  <sheetFormatPr defaultRowHeight="15" x14ac:dyDescent="0.25"/>
  <cols>
    <col min="1" max="1" width="10.875" bestFit="1" customWidth="1"/>
  </cols>
  <sheetData>
    <row r="1" spans="1:15" x14ac:dyDescent="0.25">
      <c r="A1">
        <v>2025</v>
      </c>
      <c r="C1" t="s">
        <v>0</v>
      </c>
      <c r="E1" t="s">
        <v>1</v>
      </c>
      <c r="G1" t="s">
        <v>2</v>
      </c>
      <c r="I1" t="s">
        <v>3</v>
      </c>
      <c r="K1" t="s">
        <v>4</v>
      </c>
      <c r="M1" t="s">
        <v>5</v>
      </c>
      <c r="O1" t="s">
        <v>10</v>
      </c>
    </row>
    <row r="2" spans="1:15" x14ac:dyDescent="0.25">
      <c r="A2" t="s">
        <v>6</v>
      </c>
      <c r="B2" t="s">
        <v>7</v>
      </c>
      <c r="C2" s="2">
        <v>5.2950000000000002E-3</v>
      </c>
      <c r="D2" s="2">
        <v>5.3140000000000001E-3</v>
      </c>
      <c r="E2" s="2">
        <v>5.3359999999999996E-3</v>
      </c>
      <c r="F2" s="2">
        <v>5.3579999999999999E-3</v>
      </c>
      <c r="G2" s="2">
        <v>5.3800000000000002E-3</v>
      </c>
      <c r="H2" s="2">
        <v>5.4019999999999997E-3</v>
      </c>
      <c r="I2" s="2">
        <v>5.424E-3</v>
      </c>
      <c r="J2" s="2">
        <v>5.4469999999999996E-3</v>
      </c>
      <c r="K2" s="2">
        <v>5.4679999999999998E-3</v>
      </c>
      <c r="L2" s="2">
        <v>5.4910000000000002E-3</v>
      </c>
      <c r="M2" s="2">
        <v>5.5120000000000004E-3</v>
      </c>
      <c r="N2" s="2">
        <v>5.5339999999999999E-3</v>
      </c>
    </row>
    <row r="3" spans="1:15" x14ac:dyDescent="0.25">
      <c r="B3" t="s">
        <v>9</v>
      </c>
      <c r="C3">
        <v>31</v>
      </c>
      <c r="D3">
        <v>28</v>
      </c>
      <c r="E3">
        <v>31</v>
      </c>
      <c r="F3">
        <v>30</v>
      </c>
      <c r="G3">
        <v>31</v>
      </c>
      <c r="H3">
        <v>30</v>
      </c>
      <c r="I3">
        <v>31</v>
      </c>
      <c r="J3">
        <v>31</v>
      </c>
      <c r="K3">
        <v>30</v>
      </c>
      <c r="L3">
        <v>31</v>
      </c>
      <c r="M3">
        <v>30</v>
      </c>
      <c r="N3">
        <v>31</v>
      </c>
    </row>
    <row r="4" spans="1:15" x14ac:dyDescent="0.25">
      <c r="B4" t="s">
        <v>8</v>
      </c>
      <c r="C4" s="1">
        <f>(C2*60*60*24*C3)/(43560)</f>
        <v>0.32557685950413229</v>
      </c>
      <c r="D4" s="1">
        <f t="shared" ref="D4:N4" si="0">(D2*60*60*24*D3)/(43560)</f>
        <v>0.29512462809917356</v>
      </c>
      <c r="E4" s="1">
        <f t="shared" si="0"/>
        <v>0.32809785123966945</v>
      </c>
      <c r="F4" s="1">
        <f t="shared" si="0"/>
        <v>0.31882314049586774</v>
      </c>
      <c r="G4" s="1">
        <f t="shared" si="0"/>
        <v>0.33080330578512401</v>
      </c>
      <c r="H4" s="1">
        <f t="shared" si="0"/>
        <v>0.32144132231404959</v>
      </c>
      <c r="I4" s="1">
        <f t="shared" si="0"/>
        <v>0.33350876033057852</v>
      </c>
      <c r="J4" s="1">
        <f t="shared" si="0"/>
        <v>0.33492297520661157</v>
      </c>
      <c r="K4" s="1">
        <f t="shared" si="0"/>
        <v>0.32536859504132232</v>
      </c>
      <c r="L4" s="1">
        <f t="shared" si="0"/>
        <v>0.33762842975206614</v>
      </c>
      <c r="M4" s="1">
        <f t="shared" si="0"/>
        <v>0.32798677685950417</v>
      </c>
      <c r="N4" s="1">
        <f t="shared" si="0"/>
        <v>0.34027239669421488</v>
      </c>
      <c r="O4" s="1">
        <f>SUM(C4:N4)</f>
        <v>3.9195550413223144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Wolaver, Brad, OSE</dc:creator>
  <cp:lastModifiedBy>Wolaver, Brad, OSE</cp:lastModifiedBy>
  <dcterms:created xsi:type="dcterms:W3CDTF">2026-02-26T23:16:02Z</dcterms:created>
  <dcterms:modified xsi:type="dcterms:W3CDTF">2026-02-26T23:31:29Z</dcterms:modified>
</cp:coreProperties>
</file>