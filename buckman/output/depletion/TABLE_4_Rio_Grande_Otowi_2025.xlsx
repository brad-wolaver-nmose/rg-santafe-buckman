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bradwolaver\projects\rg\santafe\buckman\output\depletion\"/>
    </mc:Choice>
  </mc:AlternateContent>
  <xr:revisionPtr revIDLastSave="0" documentId="13_ncr:1_{F1BBB096-4FDB-4026-AB6A-2C7C8CF8FB8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Table 4 - Rio Grande, Otow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0" i="1" l="1"/>
  <c r="P70" i="1"/>
  <c r="O70" i="1"/>
  <c r="N70" i="1"/>
  <c r="M70" i="1"/>
  <c r="L70" i="1"/>
  <c r="K70" i="1"/>
  <c r="J70" i="1"/>
  <c r="I70" i="1"/>
  <c r="H70" i="1"/>
  <c r="G70" i="1"/>
  <c r="F70" i="1"/>
  <c r="Q69" i="1"/>
  <c r="P69" i="1"/>
  <c r="O69" i="1"/>
  <c r="N69" i="1"/>
  <c r="M69" i="1"/>
  <c r="L69" i="1"/>
  <c r="K69" i="1"/>
  <c r="J69" i="1"/>
  <c r="I69" i="1"/>
  <c r="H69" i="1"/>
  <c r="G69" i="1"/>
  <c r="F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Q67" i="1"/>
  <c r="P67" i="1"/>
  <c r="O67" i="1"/>
  <c r="N67" i="1"/>
  <c r="M67" i="1"/>
  <c r="L67" i="1"/>
  <c r="K67" i="1"/>
  <c r="J67" i="1"/>
  <c r="I67" i="1"/>
  <c r="H67" i="1"/>
  <c r="R67" i="1" s="1"/>
  <c r="G67" i="1"/>
  <c r="F67" i="1"/>
  <c r="Q66" i="1"/>
  <c r="P66" i="1"/>
  <c r="O66" i="1"/>
  <c r="N66" i="1"/>
  <c r="M66" i="1"/>
  <c r="L66" i="1"/>
  <c r="K66" i="1"/>
  <c r="J66" i="1"/>
  <c r="I66" i="1"/>
  <c r="H66" i="1"/>
  <c r="G66" i="1"/>
  <c r="F66" i="1"/>
  <c r="Q65" i="1"/>
  <c r="P65" i="1"/>
  <c r="O65" i="1"/>
  <c r="N65" i="1"/>
  <c r="M65" i="1"/>
  <c r="L65" i="1"/>
  <c r="K65" i="1"/>
  <c r="J65" i="1"/>
  <c r="I65" i="1"/>
  <c r="H65" i="1"/>
  <c r="G65" i="1"/>
  <c r="F65" i="1"/>
  <c r="Q64" i="1"/>
  <c r="P64" i="1"/>
  <c r="O64" i="1"/>
  <c r="N64" i="1"/>
  <c r="M64" i="1"/>
  <c r="L64" i="1"/>
  <c r="K64" i="1"/>
  <c r="J64" i="1"/>
  <c r="I64" i="1"/>
  <c r="H64" i="1"/>
  <c r="G64" i="1"/>
  <c r="F64" i="1"/>
  <c r="Q63" i="1"/>
  <c r="P63" i="1"/>
  <c r="O63" i="1"/>
  <c r="N63" i="1"/>
  <c r="M63" i="1"/>
  <c r="L63" i="1"/>
  <c r="K63" i="1"/>
  <c r="J63" i="1"/>
  <c r="I63" i="1"/>
  <c r="H63" i="1"/>
  <c r="G63" i="1"/>
  <c r="F63" i="1"/>
</calcChain>
</file>

<file path=xl/sharedStrings.xml><?xml version="1.0" encoding="utf-8"?>
<sst xmlns="http://schemas.openxmlformats.org/spreadsheetml/2006/main" count="105" uniqueCount="64">
  <si>
    <t>KEY</t>
  </si>
  <si>
    <t>YEAR</t>
  </si>
  <si>
    <t>LAY</t>
  </si>
  <si>
    <t>ROW</t>
  </si>
  <si>
    <t>COL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</si>
  <si>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</si>
  <si>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</si>
  <si>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</si>
  <si>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</si>
  <si>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</si>
  <si>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</si>
  <si>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</si>
  <si>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</si>
  <si>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</si>
  <si>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</si>
  <si>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</si>
  <si>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</si>
  <si>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Otowi</t>
  </si>
  <si>
    <t>above</t>
  </si>
  <si>
    <t>below</t>
  </si>
  <si>
    <t>0  RI</t>
  </si>
  <si>
    <t>O GRA</t>
  </si>
  <si>
    <t>NDE</t>
  </si>
  <si>
    <t>0  R</t>
  </si>
  <si>
    <t>POJOA</t>
  </si>
  <si>
    <t>QUE</t>
  </si>
  <si>
    <t>0  LC</t>
  </si>
  <si>
    <t>SPRI</t>
  </si>
  <si>
    <t>NGS</t>
  </si>
  <si>
    <t>0   R</t>
  </si>
  <si>
    <t>TESU</t>
  </si>
  <si>
    <t>V  TO</t>
  </si>
  <si>
    <t>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</si>
  <si>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</si>
  <si>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</si>
  <si>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</si>
  <si>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</si>
  <si>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</si>
  <si>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</si>
  <si>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</si>
  <si>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</si>
  <si>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</si>
  <si>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</si>
  <si>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</si>
  <si>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</si>
  <si>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cfs</t>
  </si>
  <si>
    <t>Rio Grande above Otowi</t>
  </si>
  <si>
    <t>Rio Grande below Otowi</t>
  </si>
  <si>
    <t>Total</t>
  </si>
  <si>
    <t>Above Otowi</t>
  </si>
  <si>
    <t>Below Otowi</t>
  </si>
  <si>
    <t>Total RG (sum)</t>
  </si>
  <si>
    <t>check</t>
  </si>
  <si>
    <t>Total RG reported</t>
  </si>
  <si>
    <t>3 wells closest to 
Rio Grande:
Buckman 1, 7, 8; Row 13, Column 11</t>
  </si>
  <si>
    <t>CROSS-CHECK (formulas)</t>
  </si>
  <si>
    <t>CFS SUMIF: above Otowi</t>
  </si>
  <si>
    <t>CFS SUMIF: below Otowi</t>
  </si>
  <si>
    <t>CFS SUM: above (rows 20-29)</t>
  </si>
  <si>
    <t>CFS SUM: below (rows 30-45)</t>
  </si>
  <si>
    <t>AF check: above Otowi</t>
  </si>
  <si>
    <t>AF check: below Otowi</t>
  </si>
  <si>
    <t>Total check: above+below−sum</t>
  </si>
  <si>
    <t>RG reported check: sum−sfmodflx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</si>
</sst>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8">
    <font>
      <sz val="11"/>
      <color theme="1"/>
      <name val="Calibri"/>
      <family val="2"/>
      <scheme val="minor"/>
    </font>
    <font>
      <sz val="11"/>
      <color theme="1"/>
      <name val="Aptos"/>
      <family val="2"/>
    </font>
    <font>
      <b/>
      <sz val="11"/>
      <name val="Aptos"/>
    </font>
    <font>
      <sz val="11"/>
      <name val="Aptos"/>
    </font>
    <font>
      <b/>
      <sz val="9"/>
      <color rgb="FF808080"/>
      <name val="Calibri"/>
    </font>
    <font>
      <i/>
      <sz val="9"/>
      <color rgb="FF808080"/>
      <name val="Calibri"/>
    </font>
    <font>
      <b/>
      <sz val="11"/>
      <name val="Aptos"/>
      <family val="2"/>
    </font>
    <font>
      <sz val="1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164" fontId="3" fillId="0" borderId="0" xfId="0" applyNumberFormat="1" applyFont="1" applyAlignment="1">
      <alignment horizontal="center"/>
    </xf>
    <xf numFmtId="164" fontId="3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64" fontId="5" fillId="0" borderId="0" xfId="0" applyNumberFormat="1" applyFont="1"/>
    <xf numFmtId="0" fontId="7" fillId="2" borderId="2" xfId="0" applyFont="1" applyFill="1" applyBorder="1"/>
    <xf numFmtId="0" fontId="1" fillId="2" borderId="2" xfId="0" applyFont="1" applyFill="1" applyBorder="1"/>
    <xf numFmtId="2" fontId="7" fillId="2" borderId="2" xfId="0" applyNumberFormat="1" applyFont="1" applyFill="1" applyBorder="1"/>
    <xf numFmtId="2" fontId="1" fillId="2" borderId="2" xfId="0" applyNumberFormat="1" applyFont="1" applyFill="1" applyBorder="1"/>
    <xf numFmtId="0" fontId="7" fillId="2" borderId="3" xfId="0" applyFont="1" applyFill="1" applyBorder="1"/>
    <xf numFmtId="0" fontId="1" fillId="2" borderId="3" xfId="0" applyFont="1" applyFill="1" applyBorder="1"/>
    <xf numFmtId="2" fontId="7" fillId="2" borderId="3" xfId="0" applyNumberFormat="1" applyFont="1" applyFill="1" applyBorder="1"/>
    <xf numFmtId="2" fontId="1" fillId="2" borderId="3" xfId="0" applyNumberFormat="1" applyFont="1" applyFill="1" applyBorder="1"/>
    <xf numFmtId="0" fontId="1" fillId="2" borderId="1" xfId="0" applyFont="1" applyFill="1" applyBorder="1"/>
    <xf numFmtId="0" fontId="6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0"/>
  <sheetViews>
    <sheetView tabSelected="1" topLeftCell="A34" workbookViewId="0">
      <selection activeCell="F63" sqref="F63"/>
    </sheetView>
  </sheetViews>
  <sheetFormatPr defaultRowHeight="15"/>
  <cols>
    <col min="1" max="2" width="8" customWidth="1"/>
    <col min="3" max="3" width="12" customWidth="1"/>
    <col min="4" max="4" width="14" customWidth="1"/>
    <col min="5" max="17" width="12" customWidth="1"/>
    <col min="18" max="18" width="10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>
        <v>2089</v>
      </c>
      <c r="B2" s="2">
        <v>2025</v>
      </c>
      <c r="C2" s="2">
        <v>1</v>
      </c>
      <c r="D2" s="2">
        <v>9</v>
      </c>
      <c r="E2" s="2">
        <v>14</v>
      </c>
      <c r="F2" s="3">
        <v>2.5746000000000002E-2</v>
      </c>
      <c r="G2" s="3">
        <v>2.5760999999999999E-2</v>
      </c>
      <c r="H2" s="3">
        <v>2.5773999999999998E-2</v>
      </c>
      <c r="I2" s="3">
        <v>2.5784000000000001E-2</v>
      </c>
      <c r="J2" s="3">
        <v>2.5794000000000001E-2</v>
      </c>
      <c r="K2" s="3">
        <v>2.5801000000000001E-2</v>
      </c>
      <c r="L2" s="3">
        <v>2.5805000000000002E-2</v>
      </c>
      <c r="M2" s="3">
        <v>2.5808999999999999E-2</v>
      </c>
      <c r="N2" s="3">
        <v>2.5818000000000001E-2</v>
      </c>
      <c r="O2" s="3">
        <v>2.5832000000000001E-2</v>
      </c>
      <c r="P2" s="3">
        <v>2.5847999999999999E-2</v>
      </c>
      <c r="Q2" s="3">
        <v>2.5863000000000001E-2</v>
      </c>
    </row>
    <row r="3" spans="1:18">
      <c r="A3" s="2">
        <v>2090</v>
      </c>
      <c r="B3" s="2">
        <v>2025</v>
      </c>
      <c r="C3" s="2">
        <v>1</v>
      </c>
      <c r="D3" s="2">
        <v>9</v>
      </c>
      <c r="E3" s="2">
        <v>15</v>
      </c>
      <c r="F3" s="3">
        <v>2.4452999999999999E-2</v>
      </c>
      <c r="G3" s="3">
        <v>2.4472000000000001E-2</v>
      </c>
      <c r="H3" s="3">
        <v>2.4490999999999999E-2</v>
      </c>
      <c r="I3" s="3">
        <v>2.4509E-2</v>
      </c>
      <c r="J3" s="3">
        <v>2.4525000000000002E-2</v>
      </c>
      <c r="K3" s="3">
        <v>2.4539999999999999E-2</v>
      </c>
      <c r="L3" s="3">
        <v>2.4553999999999999E-2</v>
      </c>
      <c r="M3" s="3">
        <v>2.4566999999999999E-2</v>
      </c>
      <c r="N3" s="3">
        <v>2.4580999999999999E-2</v>
      </c>
      <c r="O3" s="3">
        <v>2.4598999999999999E-2</v>
      </c>
      <c r="P3" s="3">
        <v>2.4617E-2</v>
      </c>
      <c r="Q3" s="3">
        <v>2.4636000000000002E-2</v>
      </c>
    </row>
    <row r="4" spans="1:18">
      <c r="A4" s="2">
        <v>2091</v>
      </c>
      <c r="B4" s="2">
        <v>2025</v>
      </c>
      <c r="C4" s="2">
        <v>1</v>
      </c>
      <c r="D4" s="2">
        <v>9</v>
      </c>
      <c r="E4" s="2">
        <v>16</v>
      </c>
      <c r="F4" s="3">
        <v>1.35E-2</v>
      </c>
      <c r="G4" s="3">
        <v>1.3519E-2</v>
      </c>
      <c r="H4" s="3">
        <v>1.3539000000000001E-2</v>
      </c>
      <c r="I4" s="3">
        <v>1.3558000000000001E-2</v>
      </c>
      <c r="J4" s="3">
        <v>1.3578E-2</v>
      </c>
      <c r="K4" s="3">
        <v>1.3594999999999999E-2</v>
      </c>
      <c r="L4" s="3">
        <v>1.3613E-2</v>
      </c>
      <c r="M4" s="3">
        <v>1.363E-2</v>
      </c>
      <c r="N4" s="3">
        <v>1.3646E-2</v>
      </c>
      <c r="O4" s="3">
        <v>1.3665E-2</v>
      </c>
      <c r="P4" s="3">
        <v>1.3684E-2</v>
      </c>
      <c r="Q4" s="3">
        <v>1.3703999999999999E-2</v>
      </c>
    </row>
    <row r="5" spans="1:18">
      <c r="A5" s="2">
        <v>2092</v>
      </c>
      <c r="B5" s="2">
        <v>2025</v>
      </c>
      <c r="C5" s="2">
        <v>1</v>
      </c>
      <c r="D5" s="2">
        <v>9</v>
      </c>
      <c r="E5" s="2">
        <v>17</v>
      </c>
      <c r="F5" s="3">
        <v>7.8740000000000008E-3</v>
      </c>
      <c r="G5" s="3">
        <v>7.8879999999999992E-3</v>
      </c>
      <c r="H5" s="3">
        <v>7.9039999999999996E-3</v>
      </c>
      <c r="I5" s="3">
        <v>7.92E-3</v>
      </c>
      <c r="J5" s="3">
        <v>7.9360000000000003E-3</v>
      </c>
      <c r="K5" s="3">
        <v>7.9500000000000005E-3</v>
      </c>
      <c r="L5" s="3">
        <v>7.9649999999999999E-3</v>
      </c>
      <c r="M5" s="3">
        <v>7.9799999999999992E-3</v>
      </c>
      <c r="N5" s="3">
        <v>7.9939999999999994E-3</v>
      </c>
      <c r="O5" s="3">
        <v>8.0090000000000005E-3</v>
      </c>
      <c r="P5" s="3">
        <v>8.0239999999999999E-3</v>
      </c>
      <c r="Q5" s="3">
        <v>8.0400000000000003E-3</v>
      </c>
    </row>
    <row r="6" spans="1:18">
      <c r="A6" s="2">
        <v>2093</v>
      </c>
      <c r="B6" s="2">
        <v>2025</v>
      </c>
      <c r="C6" s="2">
        <v>1</v>
      </c>
      <c r="D6" s="2">
        <v>9</v>
      </c>
      <c r="E6" s="2">
        <v>18</v>
      </c>
      <c r="F6" s="3">
        <v>4.3829999999999997E-3</v>
      </c>
      <c r="G6" s="3">
        <v>4.3909999999999999E-3</v>
      </c>
      <c r="H6" s="3">
        <v>4.4000000000000003E-3</v>
      </c>
      <c r="I6" s="3">
        <v>4.4089999999999997E-3</v>
      </c>
      <c r="J6" s="3">
        <v>4.4180000000000001E-3</v>
      </c>
      <c r="K6" s="3">
        <v>4.4270000000000004E-3</v>
      </c>
      <c r="L6" s="3">
        <v>4.4359999999999998E-3</v>
      </c>
      <c r="M6" s="3">
        <v>4.444E-3</v>
      </c>
      <c r="N6" s="3">
        <v>4.4530000000000004E-3</v>
      </c>
      <c r="O6" s="3">
        <v>4.4619999999999998E-3</v>
      </c>
      <c r="P6" s="3">
        <v>4.4710000000000001E-3</v>
      </c>
      <c r="Q6" s="3">
        <v>4.4799999999999996E-3</v>
      </c>
    </row>
    <row r="7" spans="1:18">
      <c r="A7" s="2">
        <v>2094</v>
      </c>
      <c r="B7" s="2">
        <v>2025</v>
      </c>
      <c r="C7" s="2">
        <v>1</v>
      </c>
      <c r="D7" s="2">
        <v>9</v>
      </c>
      <c r="E7" s="2">
        <v>19</v>
      </c>
      <c r="F7" s="3">
        <v>1.7730000000000001E-3</v>
      </c>
      <c r="G7" s="3">
        <v>1.776E-3</v>
      </c>
      <c r="H7" s="3">
        <v>1.779E-3</v>
      </c>
      <c r="I7" s="3">
        <v>1.7819999999999999E-3</v>
      </c>
      <c r="J7" s="3">
        <v>1.7849999999999999E-3</v>
      </c>
      <c r="K7" s="3">
        <v>1.7880000000000001E-3</v>
      </c>
      <c r="L7" s="3">
        <v>1.7910000000000001E-3</v>
      </c>
      <c r="M7" s="3">
        <v>1.794E-3</v>
      </c>
      <c r="N7" s="3">
        <v>1.797E-3</v>
      </c>
      <c r="O7" s="3">
        <v>1.8E-3</v>
      </c>
      <c r="P7" s="3">
        <v>1.8029999999999999E-3</v>
      </c>
      <c r="Q7" s="3">
        <v>1.8060000000000001E-3</v>
      </c>
    </row>
    <row r="8" spans="1:18">
      <c r="A8" s="2">
        <v>2095</v>
      </c>
      <c r="B8" s="2">
        <v>2025</v>
      </c>
      <c r="C8" s="2">
        <v>1</v>
      </c>
      <c r="D8" s="2">
        <v>9</v>
      </c>
      <c r="E8" s="2">
        <v>20</v>
      </c>
      <c r="F8" s="3">
        <v>1.4859999999999999E-3</v>
      </c>
      <c r="G8" s="3">
        <v>1.487E-3</v>
      </c>
      <c r="H8" s="3">
        <v>1.4890000000000001E-3</v>
      </c>
      <c r="I8" s="3">
        <v>1.4909999999999999E-3</v>
      </c>
      <c r="J8" s="3">
        <v>1.493E-3</v>
      </c>
      <c r="K8" s="3">
        <v>1.495E-3</v>
      </c>
      <c r="L8" s="3">
        <v>1.4970000000000001E-3</v>
      </c>
      <c r="M8" s="3">
        <v>1.4989999999999999E-3</v>
      </c>
      <c r="N8" s="3">
        <v>1.5E-3</v>
      </c>
      <c r="O8" s="3">
        <v>1.5020000000000001E-3</v>
      </c>
      <c r="P8" s="3">
        <v>1.5039999999999999E-3</v>
      </c>
      <c r="Q8" s="3">
        <v>1.506E-3</v>
      </c>
    </row>
    <row r="9" spans="1:18">
      <c r="A9" s="2">
        <v>2096</v>
      </c>
      <c r="B9" s="2">
        <v>2025</v>
      </c>
      <c r="C9" s="2">
        <v>1</v>
      </c>
      <c r="D9" s="2">
        <v>9</v>
      </c>
      <c r="E9" s="2">
        <v>21</v>
      </c>
      <c r="F9" s="3">
        <v>1.2819999999999999E-3</v>
      </c>
      <c r="G9" s="3">
        <v>1.284E-3</v>
      </c>
      <c r="H9" s="3">
        <v>1.2849999999999999E-3</v>
      </c>
      <c r="I9" s="3">
        <v>1.286E-3</v>
      </c>
      <c r="J9" s="3">
        <v>1.2880000000000001E-3</v>
      </c>
      <c r="K9" s="3">
        <v>1.289E-3</v>
      </c>
      <c r="L9" s="3">
        <v>1.291E-3</v>
      </c>
      <c r="M9" s="3">
        <v>1.2930000000000001E-3</v>
      </c>
      <c r="N9" s="3">
        <v>1.294E-3</v>
      </c>
      <c r="O9" s="3">
        <v>1.2960000000000001E-3</v>
      </c>
      <c r="P9" s="3">
        <v>1.297E-3</v>
      </c>
      <c r="Q9" s="3">
        <v>1.299E-3</v>
      </c>
    </row>
    <row r="10" spans="1:18">
      <c r="A10" s="2">
        <v>2097</v>
      </c>
      <c r="B10" s="2">
        <v>2025</v>
      </c>
      <c r="C10" s="2">
        <v>1</v>
      </c>
      <c r="D10" s="2">
        <v>10</v>
      </c>
      <c r="E10" s="2">
        <v>19</v>
      </c>
      <c r="F10" s="3">
        <v>4.0130000000000001E-3</v>
      </c>
      <c r="G10" s="3">
        <v>4.0210000000000003E-3</v>
      </c>
      <c r="H10" s="3">
        <v>4.0289999999999996E-3</v>
      </c>
      <c r="I10" s="3">
        <v>4.0379999999999999E-3</v>
      </c>
      <c r="J10" s="3">
        <v>4.0470000000000002E-3</v>
      </c>
      <c r="K10" s="3">
        <v>4.0549999999999996E-3</v>
      </c>
      <c r="L10" s="3">
        <v>4.0639999999999999E-3</v>
      </c>
      <c r="M10" s="3">
        <v>4.0720000000000001E-3</v>
      </c>
      <c r="N10" s="3">
        <v>4.0810000000000004E-3</v>
      </c>
      <c r="O10" s="3">
        <v>4.0889999999999998E-3</v>
      </c>
      <c r="P10" s="3">
        <v>4.0980000000000001E-3</v>
      </c>
      <c r="Q10" s="3">
        <v>4.1070000000000004E-3</v>
      </c>
    </row>
    <row r="11" spans="1:18">
      <c r="A11" s="2">
        <v>2098</v>
      </c>
      <c r="B11" s="2">
        <v>2025</v>
      </c>
      <c r="C11" s="2">
        <v>1</v>
      </c>
      <c r="D11" s="2">
        <v>10</v>
      </c>
      <c r="E11" s="2">
        <v>22</v>
      </c>
      <c r="F11" s="3">
        <v>1.3569999999999999E-3</v>
      </c>
      <c r="G11" s="3">
        <v>1.359E-3</v>
      </c>
      <c r="H11" s="3">
        <v>1.3600000000000001E-3</v>
      </c>
      <c r="I11" s="3">
        <v>1.361E-3</v>
      </c>
      <c r="J11" s="3">
        <v>1.3630000000000001E-3</v>
      </c>
      <c r="K11" s="3">
        <v>1.3649999999999999E-3</v>
      </c>
      <c r="L11" s="3">
        <v>1.366E-3</v>
      </c>
      <c r="M11" s="3">
        <v>1.3680000000000001E-3</v>
      </c>
      <c r="N11" s="3">
        <v>1.369E-3</v>
      </c>
      <c r="O11" s="3">
        <v>1.371E-3</v>
      </c>
      <c r="P11" s="3">
        <v>1.3730000000000001E-3</v>
      </c>
      <c r="Q11" s="3">
        <v>1.374E-3</v>
      </c>
    </row>
    <row r="12" spans="1:18">
      <c r="A12" s="2">
        <v>2099</v>
      </c>
      <c r="B12" s="2">
        <v>2025</v>
      </c>
      <c r="C12" s="2">
        <v>1</v>
      </c>
      <c r="D12" s="2">
        <v>11</v>
      </c>
      <c r="E12" s="2">
        <v>19</v>
      </c>
      <c r="F12" s="3">
        <v>7.8510000000000003E-3</v>
      </c>
      <c r="G12" s="3">
        <v>7.868E-3</v>
      </c>
      <c r="H12" s="3">
        <v>7.8869999999999999E-3</v>
      </c>
      <c r="I12" s="3">
        <v>7.9059999999999998E-3</v>
      </c>
      <c r="J12" s="3">
        <v>7.9249999999999998E-3</v>
      </c>
      <c r="K12" s="3">
        <v>7.9439999999999997E-3</v>
      </c>
      <c r="L12" s="3">
        <v>7.9629999999999996E-3</v>
      </c>
      <c r="M12" s="3">
        <v>7.9810000000000002E-3</v>
      </c>
      <c r="N12" s="3">
        <v>7.9989999999999992E-3</v>
      </c>
      <c r="O12" s="3">
        <v>8.0180000000000008E-3</v>
      </c>
      <c r="P12" s="3">
        <v>8.0370000000000007E-3</v>
      </c>
      <c r="Q12" s="3">
        <v>8.0569999999999999E-3</v>
      </c>
    </row>
    <row r="13" spans="1:18">
      <c r="A13" s="2">
        <v>2100</v>
      </c>
      <c r="B13" s="2">
        <v>2025</v>
      </c>
      <c r="C13" s="2">
        <v>1</v>
      </c>
      <c r="D13" s="2">
        <v>11</v>
      </c>
      <c r="E13" s="2">
        <v>23</v>
      </c>
      <c r="F13" s="3">
        <v>9.7900000000000005E-4</v>
      </c>
      <c r="G13" s="3">
        <v>9.7999999999999997E-4</v>
      </c>
      <c r="H13" s="3">
        <v>9.8200000000000002E-4</v>
      </c>
      <c r="I13" s="3">
        <v>9.8299999999999993E-4</v>
      </c>
      <c r="J13" s="3">
        <v>9.8499999999999998E-4</v>
      </c>
      <c r="K13" s="3">
        <v>9.859999999999999E-4</v>
      </c>
      <c r="L13" s="3">
        <v>9.8700000000000003E-4</v>
      </c>
      <c r="M13" s="3">
        <v>9.8900000000000008E-4</v>
      </c>
      <c r="N13" s="3">
        <v>9.8999999999999999E-4</v>
      </c>
      <c r="O13" s="3">
        <v>9.9200000000000004E-4</v>
      </c>
      <c r="P13" s="3">
        <v>9.9299999999999996E-4</v>
      </c>
      <c r="Q13" s="3">
        <v>9.9500000000000001E-4</v>
      </c>
    </row>
    <row r="14" spans="1:18">
      <c r="A14" s="2">
        <v>2101</v>
      </c>
      <c r="B14" s="2">
        <v>2025</v>
      </c>
      <c r="C14" s="2">
        <v>1</v>
      </c>
      <c r="D14" s="2">
        <v>12</v>
      </c>
      <c r="E14" s="2">
        <v>20</v>
      </c>
      <c r="F14" s="3">
        <v>5.7099999999999998E-3</v>
      </c>
      <c r="G14" s="3">
        <v>5.7219999999999997E-3</v>
      </c>
      <c r="H14" s="3">
        <v>5.7349999999999996E-3</v>
      </c>
      <c r="I14" s="3">
        <v>5.7479999999999996E-3</v>
      </c>
      <c r="J14" s="3">
        <v>5.7619999999999998E-3</v>
      </c>
      <c r="K14" s="3">
        <v>5.7749999999999998E-3</v>
      </c>
      <c r="L14" s="3">
        <v>5.7879999999999997E-3</v>
      </c>
      <c r="M14" s="3">
        <v>5.8009999999999997E-3</v>
      </c>
      <c r="N14" s="3">
        <v>5.8139999999999997E-3</v>
      </c>
      <c r="O14" s="3">
        <v>5.8269999999999997E-3</v>
      </c>
      <c r="P14" s="3">
        <v>5.8399999999999997E-3</v>
      </c>
      <c r="Q14" s="3">
        <v>5.8539999999999998E-3</v>
      </c>
    </row>
    <row r="15" spans="1:18">
      <c r="A15" s="2">
        <v>2102</v>
      </c>
      <c r="B15" s="2">
        <v>2025</v>
      </c>
      <c r="C15" s="2">
        <v>1</v>
      </c>
      <c r="D15" s="2">
        <v>12</v>
      </c>
      <c r="E15" s="2">
        <v>23</v>
      </c>
      <c r="F15" s="3">
        <v>1.325E-3</v>
      </c>
      <c r="G15" s="3">
        <v>1.3270000000000001E-3</v>
      </c>
      <c r="H15" s="3">
        <v>1.3290000000000001E-3</v>
      </c>
      <c r="I15" s="3">
        <v>1.3309999999999999E-3</v>
      </c>
      <c r="J15" s="3">
        <v>1.3339999999999999E-3</v>
      </c>
      <c r="K15" s="3">
        <v>1.3359999999999999E-3</v>
      </c>
      <c r="L15" s="3">
        <v>1.338E-3</v>
      </c>
      <c r="M15" s="3">
        <v>1.341E-3</v>
      </c>
      <c r="N15" s="3">
        <v>1.343E-3</v>
      </c>
      <c r="O15" s="3">
        <v>1.346E-3</v>
      </c>
      <c r="P15" s="3">
        <v>1.348E-3</v>
      </c>
      <c r="Q15" s="3">
        <v>1.3500000000000001E-3</v>
      </c>
    </row>
    <row r="16" spans="1:18">
      <c r="A16" s="2">
        <v>2103</v>
      </c>
      <c r="B16" s="2">
        <v>2025</v>
      </c>
      <c r="C16" s="2">
        <v>1</v>
      </c>
      <c r="D16" s="2">
        <v>13</v>
      </c>
      <c r="E16" s="2">
        <v>20</v>
      </c>
      <c r="F16" s="3">
        <v>1E-4</v>
      </c>
      <c r="G16" s="3">
        <v>1E-4</v>
      </c>
      <c r="H16" s="3">
        <v>1E-4</v>
      </c>
      <c r="I16" s="3">
        <v>1E-4</v>
      </c>
      <c r="J16" s="3">
        <v>1E-4</v>
      </c>
      <c r="K16" s="3">
        <v>1E-4</v>
      </c>
      <c r="L16" s="3">
        <v>1E-4</v>
      </c>
      <c r="M16" s="3">
        <v>1E-4</v>
      </c>
      <c r="N16" s="3">
        <v>1E-4</v>
      </c>
      <c r="O16" s="3">
        <v>1E-4</v>
      </c>
      <c r="P16" s="3">
        <v>1E-4</v>
      </c>
      <c r="Q16" s="3">
        <v>1E-4</v>
      </c>
    </row>
    <row r="17" spans="1:18">
      <c r="A17" s="2">
        <v>2104</v>
      </c>
      <c r="B17" s="2">
        <v>2025</v>
      </c>
      <c r="C17" s="2">
        <v>1</v>
      </c>
      <c r="D17" s="2">
        <v>14</v>
      </c>
      <c r="E17" s="2">
        <v>21</v>
      </c>
      <c r="F17" s="3">
        <v>3.96E-3</v>
      </c>
      <c r="G17" s="3">
        <v>3.9690000000000003E-3</v>
      </c>
      <c r="H17" s="3">
        <v>3.9779999999999998E-3</v>
      </c>
      <c r="I17" s="3">
        <v>3.9880000000000002E-3</v>
      </c>
      <c r="J17" s="3">
        <v>3.9979999999999998E-3</v>
      </c>
      <c r="K17" s="3">
        <v>4.0070000000000001E-3</v>
      </c>
      <c r="L17" s="3">
        <v>4.0169999999999997E-3</v>
      </c>
      <c r="M17" s="3">
        <v>4.0270000000000002E-3</v>
      </c>
      <c r="N17" s="3">
        <v>4.0359999999999997E-3</v>
      </c>
      <c r="O17" s="3">
        <v>4.0460000000000001E-3</v>
      </c>
      <c r="P17" s="3">
        <v>4.0549999999999996E-3</v>
      </c>
      <c r="Q17" s="3">
        <v>4.065E-3</v>
      </c>
    </row>
    <row r="18" spans="1:18">
      <c r="A18" s="2">
        <v>2105</v>
      </c>
      <c r="B18" s="2">
        <v>2025</v>
      </c>
      <c r="C18" s="2">
        <v>1</v>
      </c>
      <c r="D18" s="2">
        <v>15</v>
      </c>
      <c r="E18" s="2">
        <v>21</v>
      </c>
      <c r="F18" s="3">
        <v>4.2659999999999998E-3</v>
      </c>
      <c r="G18" s="3">
        <v>4.2770000000000004E-3</v>
      </c>
      <c r="H18" s="3">
        <v>4.2890000000000003E-3</v>
      </c>
      <c r="I18" s="3">
        <v>4.3010000000000001E-3</v>
      </c>
      <c r="J18" s="3">
        <v>4.313E-3</v>
      </c>
      <c r="K18" s="3">
        <v>4.3239999999999997E-3</v>
      </c>
      <c r="L18" s="3">
        <v>4.3350000000000003E-3</v>
      </c>
      <c r="M18" s="3">
        <v>4.3470000000000002E-3</v>
      </c>
      <c r="N18" s="3">
        <v>4.3579999999999999E-3</v>
      </c>
      <c r="O18" s="3">
        <v>4.3689999999999996E-3</v>
      </c>
      <c r="P18" s="3">
        <v>4.3800000000000002E-3</v>
      </c>
      <c r="Q18" s="3">
        <v>4.3909999999999999E-3</v>
      </c>
    </row>
    <row r="19" spans="1:18">
      <c r="A19" s="2">
        <v>2106</v>
      </c>
      <c r="B19" s="2">
        <v>2025</v>
      </c>
      <c r="C19" s="2">
        <v>1</v>
      </c>
      <c r="D19" s="2">
        <v>16</v>
      </c>
      <c r="E19" s="2">
        <v>22</v>
      </c>
      <c r="F19" s="3">
        <v>3.0140000000000002E-3</v>
      </c>
      <c r="G19" s="3">
        <v>3.0219999999999999E-3</v>
      </c>
      <c r="H19" s="3">
        <v>3.0300000000000001E-3</v>
      </c>
      <c r="I19" s="3">
        <v>3.0379999999999999E-3</v>
      </c>
      <c r="J19" s="3">
        <v>3.0460000000000001E-3</v>
      </c>
      <c r="K19" s="3">
        <v>3.0539999999999999E-3</v>
      </c>
      <c r="L19" s="3">
        <v>3.0620000000000001E-3</v>
      </c>
      <c r="M19" s="3">
        <v>3.0699999999999998E-3</v>
      </c>
      <c r="N19" s="3">
        <v>3.0769999999999999E-3</v>
      </c>
      <c r="O19" s="3">
        <v>3.0850000000000001E-3</v>
      </c>
      <c r="P19" s="3">
        <v>3.0920000000000001E-3</v>
      </c>
      <c r="Q19" s="3">
        <v>3.0999999999999999E-3</v>
      </c>
    </row>
    <row r="20" spans="1:18">
      <c r="A20" s="2">
        <v>2107</v>
      </c>
      <c r="B20" s="2">
        <v>2025</v>
      </c>
      <c r="C20" s="2">
        <v>1</v>
      </c>
      <c r="D20" s="2">
        <v>1</v>
      </c>
      <c r="E20" s="2">
        <v>16</v>
      </c>
      <c r="F20" s="3">
        <v>7.36E-4</v>
      </c>
      <c r="G20" s="3">
        <v>7.3700000000000002E-4</v>
      </c>
      <c r="H20" s="3">
        <v>7.3800000000000005E-4</v>
      </c>
      <c r="I20" s="3">
        <v>7.3899999999999997E-4</v>
      </c>
      <c r="J20" s="3">
        <v>7.3999999999999999E-4</v>
      </c>
      <c r="K20" s="3">
        <v>7.4200000000000004E-4</v>
      </c>
      <c r="L20" s="3">
        <v>7.4299999999999995E-4</v>
      </c>
      <c r="M20" s="3">
        <v>7.4399999999999998E-4</v>
      </c>
      <c r="N20" s="3">
        <v>7.45E-4</v>
      </c>
      <c r="O20" s="3">
        <v>7.4600000000000003E-4</v>
      </c>
      <c r="P20" s="3">
        <v>7.4799999999999997E-4</v>
      </c>
      <c r="Q20" s="3">
        <v>7.4899999999999999E-4</v>
      </c>
      <c r="R20" s="2" t="s">
        <v>18</v>
      </c>
    </row>
    <row r="21" spans="1:18">
      <c r="A21" s="2">
        <v>2108</v>
      </c>
      <c r="B21" s="2">
        <v>2025</v>
      </c>
      <c r="C21" s="2">
        <v>1</v>
      </c>
      <c r="D21" s="2">
        <v>2</v>
      </c>
      <c r="E21" s="2">
        <v>16</v>
      </c>
      <c r="F21" s="3">
        <v>8.3000000000000001E-4</v>
      </c>
      <c r="G21" s="3">
        <v>8.3100000000000003E-4</v>
      </c>
      <c r="H21" s="3">
        <v>8.3199999999999995E-4</v>
      </c>
      <c r="I21" s="3">
        <v>8.34E-4</v>
      </c>
      <c r="J21" s="3">
        <v>8.3500000000000002E-4</v>
      </c>
      <c r="K21" s="3">
        <v>8.3699999999999996E-4</v>
      </c>
      <c r="L21" s="3">
        <v>8.3799999999999999E-4</v>
      </c>
      <c r="M21" s="3">
        <v>8.3900000000000001E-4</v>
      </c>
      <c r="N21" s="3">
        <v>8.4099999999999995E-4</v>
      </c>
      <c r="O21" s="3">
        <v>8.4199999999999998E-4</v>
      </c>
      <c r="P21" s="3">
        <v>8.43E-4</v>
      </c>
      <c r="Q21" s="3">
        <v>8.4500000000000005E-4</v>
      </c>
      <c r="R21" s="2" t="s">
        <v>18</v>
      </c>
    </row>
    <row r="22" spans="1:18">
      <c r="A22" s="2">
        <v>2109</v>
      </c>
      <c r="B22" s="2">
        <v>2025</v>
      </c>
      <c r="C22" s="2">
        <v>1</v>
      </c>
      <c r="D22" s="2">
        <v>3</v>
      </c>
      <c r="E22" s="2">
        <v>16</v>
      </c>
      <c r="F22" s="3">
        <v>9.9299999999999996E-4</v>
      </c>
      <c r="G22" s="3">
        <v>9.9400000000000009E-4</v>
      </c>
      <c r="H22" s="3">
        <v>9.9599999999999992E-4</v>
      </c>
      <c r="I22" s="3">
        <v>9.9700000000000006E-4</v>
      </c>
      <c r="J22" s="3">
        <v>9.990000000000001E-4</v>
      </c>
      <c r="K22" s="3">
        <v>1.0009999999999999E-3</v>
      </c>
      <c r="L22" s="3">
        <v>1.003E-3</v>
      </c>
      <c r="M22" s="3">
        <v>1.0039999999999999E-3</v>
      </c>
      <c r="N22" s="3">
        <v>1.0059999999999999E-3</v>
      </c>
      <c r="O22" s="3">
        <v>1.0070000000000001E-3</v>
      </c>
      <c r="P22" s="3">
        <v>1.0089999999999999E-3</v>
      </c>
      <c r="Q22" s="3">
        <v>1.01E-3</v>
      </c>
      <c r="R22" s="2" t="s">
        <v>18</v>
      </c>
    </row>
    <row r="23" spans="1:18">
      <c r="A23" s="2">
        <v>2110</v>
      </c>
      <c r="B23" s="2">
        <v>2025</v>
      </c>
      <c r="C23" s="2">
        <v>1</v>
      </c>
      <c r="D23" s="2">
        <v>4</v>
      </c>
      <c r="E23" s="2">
        <v>16</v>
      </c>
      <c r="F23" s="3">
        <v>1.67E-3</v>
      </c>
      <c r="G23" s="3">
        <v>1.673E-3</v>
      </c>
      <c r="H23" s="3">
        <v>1.676E-3</v>
      </c>
      <c r="I23" s="3">
        <v>1.678E-3</v>
      </c>
      <c r="J23" s="3">
        <v>1.681E-3</v>
      </c>
      <c r="K23" s="3">
        <v>1.684E-3</v>
      </c>
      <c r="L23" s="3">
        <v>1.686E-3</v>
      </c>
      <c r="M23" s="3">
        <v>1.689E-3</v>
      </c>
      <c r="N23" s="3">
        <v>1.691E-3</v>
      </c>
      <c r="O23" s="3">
        <v>1.6930000000000001E-3</v>
      </c>
      <c r="P23" s="3">
        <v>1.6949999999999999E-3</v>
      </c>
      <c r="Q23" s="3">
        <v>1.6969999999999999E-3</v>
      </c>
      <c r="R23" s="2" t="s">
        <v>18</v>
      </c>
    </row>
    <row r="24" spans="1:18">
      <c r="A24" s="2">
        <v>2111</v>
      </c>
      <c r="B24" s="2">
        <v>2025</v>
      </c>
      <c r="C24" s="2">
        <v>1</v>
      </c>
      <c r="D24" s="2">
        <v>5</v>
      </c>
      <c r="E24" s="2">
        <v>15</v>
      </c>
      <c r="F24" s="3">
        <v>3.0790000000000001E-3</v>
      </c>
      <c r="G24" s="3">
        <v>3.0850000000000001E-3</v>
      </c>
      <c r="H24" s="3">
        <v>3.091E-3</v>
      </c>
      <c r="I24" s="3">
        <v>3.0959999999999998E-3</v>
      </c>
      <c r="J24" s="3">
        <v>3.101E-3</v>
      </c>
      <c r="K24" s="3">
        <v>3.1050000000000001E-3</v>
      </c>
      <c r="L24" s="3">
        <v>3.1089999999999998E-3</v>
      </c>
      <c r="M24" s="3">
        <v>3.1120000000000002E-3</v>
      </c>
      <c r="N24" s="3">
        <v>3.114E-3</v>
      </c>
      <c r="O24" s="3">
        <v>3.117E-3</v>
      </c>
      <c r="P24" s="3">
        <v>3.1210000000000001E-3</v>
      </c>
      <c r="Q24" s="3">
        <v>3.1250000000000002E-3</v>
      </c>
      <c r="R24" s="2" t="s">
        <v>18</v>
      </c>
    </row>
    <row r="25" spans="1:18">
      <c r="A25" s="2">
        <v>2112</v>
      </c>
      <c r="B25" s="2">
        <v>2025</v>
      </c>
      <c r="C25" s="2">
        <v>1</v>
      </c>
      <c r="D25" s="2">
        <v>6</v>
      </c>
      <c r="E25" s="2">
        <v>14</v>
      </c>
      <c r="F25" s="3">
        <v>4.4879999999999998E-3</v>
      </c>
      <c r="G25" s="3">
        <v>4.5009999999999998E-3</v>
      </c>
      <c r="H25" s="3">
        <v>4.5129999999999997E-3</v>
      </c>
      <c r="I25" s="3">
        <v>4.522E-3</v>
      </c>
      <c r="J25" s="3">
        <v>4.529E-3</v>
      </c>
      <c r="K25" s="3">
        <v>4.5339999999999998E-3</v>
      </c>
      <c r="L25" s="3">
        <v>4.5380000000000004E-3</v>
      </c>
      <c r="M25" s="3">
        <v>4.5399999999999998E-3</v>
      </c>
      <c r="N25" s="3">
        <v>4.5440000000000003E-3</v>
      </c>
      <c r="O25" s="3">
        <v>4.5490000000000001E-3</v>
      </c>
      <c r="P25" s="3">
        <v>4.5570000000000003E-3</v>
      </c>
      <c r="Q25" s="3">
        <v>4.5649999999999996E-3</v>
      </c>
      <c r="R25" s="2" t="s">
        <v>18</v>
      </c>
    </row>
    <row r="26" spans="1:18">
      <c r="A26" s="2">
        <v>2113</v>
      </c>
      <c r="B26" s="2">
        <v>2025</v>
      </c>
      <c r="C26" s="2">
        <v>1</v>
      </c>
      <c r="D26" s="2">
        <v>7</v>
      </c>
      <c r="E26" s="2">
        <v>14</v>
      </c>
      <c r="F26" s="3">
        <v>6.1279999999999998E-3</v>
      </c>
      <c r="G26" s="3">
        <v>6.1450000000000003E-3</v>
      </c>
      <c r="H26" s="3">
        <v>6.1599999999999997E-3</v>
      </c>
      <c r="I26" s="3">
        <v>6.1710000000000003E-3</v>
      </c>
      <c r="J26" s="3">
        <v>6.1799999999999997E-3</v>
      </c>
      <c r="K26" s="3">
        <v>6.1859999999999997E-3</v>
      </c>
      <c r="L26" s="3">
        <v>6.1890000000000001E-3</v>
      </c>
      <c r="M26" s="3">
        <v>6.1910000000000003E-3</v>
      </c>
      <c r="N26" s="3">
        <v>6.195E-3</v>
      </c>
      <c r="O26" s="3">
        <v>6.2040000000000003E-3</v>
      </c>
      <c r="P26" s="3">
        <v>6.215E-3</v>
      </c>
      <c r="Q26" s="3">
        <v>6.2259999999999998E-3</v>
      </c>
      <c r="R26" s="2" t="s">
        <v>18</v>
      </c>
    </row>
    <row r="27" spans="1:18">
      <c r="A27" s="2">
        <v>2114</v>
      </c>
      <c r="B27" s="2">
        <v>2025</v>
      </c>
      <c r="C27" s="2">
        <v>1</v>
      </c>
      <c r="D27" s="2">
        <v>8</v>
      </c>
      <c r="E27" s="2">
        <v>13</v>
      </c>
      <c r="F27" s="3">
        <v>1.1476999999999999E-2</v>
      </c>
      <c r="G27" s="3">
        <v>1.1504E-2</v>
      </c>
      <c r="H27" s="3">
        <v>1.1520000000000001E-2</v>
      </c>
      <c r="I27" s="3">
        <v>1.1531E-2</v>
      </c>
      <c r="J27" s="3">
        <v>1.1537E-2</v>
      </c>
      <c r="K27" s="3">
        <v>1.1537E-2</v>
      </c>
      <c r="L27" s="3">
        <v>1.1528E-2</v>
      </c>
      <c r="M27" s="3">
        <v>1.1526E-2</v>
      </c>
      <c r="N27" s="3">
        <v>1.1542E-2</v>
      </c>
      <c r="O27" s="3">
        <v>1.1573999999999999E-2</v>
      </c>
      <c r="P27" s="3">
        <v>1.1608E-2</v>
      </c>
      <c r="Q27" s="3">
        <v>1.1631000000000001E-2</v>
      </c>
      <c r="R27" s="2" t="s">
        <v>18</v>
      </c>
    </row>
    <row r="28" spans="1:18">
      <c r="A28" s="2">
        <v>2115</v>
      </c>
      <c r="B28" s="2">
        <v>2025</v>
      </c>
      <c r="C28" s="2">
        <v>1</v>
      </c>
      <c r="D28" s="2">
        <v>9</v>
      </c>
      <c r="E28" s="2">
        <v>13</v>
      </c>
      <c r="F28" s="3">
        <v>3.4664E-2</v>
      </c>
      <c r="G28" s="3">
        <v>3.4671E-2</v>
      </c>
      <c r="H28" s="3">
        <v>3.4660000000000003E-2</v>
      </c>
      <c r="I28" s="3">
        <v>3.4647999999999998E-2</v>
      </c>
      <c r="J28" s="3">
        <v>3.4631000000000002E-2</v>
      </c>
      <c r="K28" s="3">
        <v>3.4599999999999999E-2</v>
      </c>
      <c r="L28" s="3">
        <v>3.4554000000000001E-2</v>
      </c>
      <c r="M28" s="3">
        <v>3.4537999999999999E-2</v>
      </c>
      <c r="N28" s="3">
        <v>3.4573E-2</v>
      </c>
      <c r="O28" s="3">
        <v>3.4638000000000002E-2</v>
      </c>
      <c r="P28" s="3">
        <v>3.4691E-2</v>
      </c>
      <c r="Q28" s="3">
        <v>3.4705E-2</v>
      </c>
      <c r="R28" s="2" t="s">
        <v>18</v>
      </c>
    </row>
    <row r="29" spans="1:18">
      <c r="A29" s="2">
        <v>2116</v>
      </c>
      <c r="B29" s="2">
        <v>2025</v>
      </c>
      <c r="C29" s="2">
        <v>1</v>
      </c>
      <c r="D29" s="2">
        <v>10</v>
      </c>
      <c r="E29" s="2">
        <v>12</v>
      </c>
      <c r="F29" s="3">
        <v>7.7538999999999997E-2</v>
      </c>
      <c r="G29" s="3">
        <v>7.7412999999999996E-2</v>
      </c>
      <c r="H29" s="3">
        <v>7.7292E-2</v>
      </c>
      <c r="I29" s="3">
        <v>7.7229999999999993E-2</v>
      </c>
      <c r="J29" s="3">
        <v>7.7136999999999997E-2</v>
      </c>
      <c r="K29" s="3">
        <v>7.6984999999999998E-2</v>
      </c>
      <c r="L29" s="3">
        <v>7.6799999999999993E-2</v>
      </c>
      <c r="M29" s="3">
        <v>7.6826000000000005E-2</v>
      </c>
      <c r="N29" s="3">
        <v>7.7018000000000003E-2</v>
      </c>
      <c r="O29" s="3">
        <v>7.7198000000000003E-2</v>
      </c>
      <c r="P29" s="3">
        <v>7.7233999999999997E-2</v>
      </c>
      <c r="Q29" s="3">
        <v>7.7093999999999996E-2</v>
      </c>
      <c r="R29" s="2" t="s">
        <v>18</v>
      </c>
    </row>
    <row r="30" spans="1:18">
      <c r="A30" s="2">
        <v>2117</v>
      </c>
      <c r="B30" s="2">
        <v>2025</v>
      </c>
      <c r="C30" s="2">
        <v>1</v>
      </c>
      <c r="D30" s="2">
        <v>11</v>
      </c>
      <c r="E30" s="2">
        <v>11</v>
      </c>
      <c r="F30" s="3">
        <v>6.9678000000000004E-2</v>
      </c>
      <c r="G30" s="3">
        <v>6.9227999999999998E-2</v>
      </c>
      <c r="H30" s="3">
        <v>6.9099999999999995E-2</v>
      </c>
      <c r="I30" s="3">
        <v>6.9206000000000004E-2</v>
      </c>
      <c r="J30" s="3">
        <v>6.8973000000000007E-2</v>
      </c>
      <c r="K30" s="3">
        <v>6.8540000000000004E-2</v>
      </c>
      <c r="L30" s="3">
        <v>6.8154000000000006E-2</v>
      </c>
      <c r="M30" s="3">
        <v>6.8872000000000003E-2</v>
      </c>
      <c r="N30" s="3">
        <v>6.9750000000000006E-2</v>
      </c>
      <c r="O30" s="3">
        <v>7.0059999999999997E-2</v>
      </c>
      <c r="P30" s="3">
        <v>6.9762000000000005E-2</v>
      </c>
      <c r="Q30" s="3">
        <v>6.9029999999999994E-2</v>
      </c>
      <c r="R30" s="2" t="s">
        <v>19</v>
      </c>
    </row>
    <row r="31" spans="1:18">
      <c r="A31" s="2">
        <v>2118</v>
      </c>
      <c r="B31" s="2">
        <v>2025</v>
      </c>
      <c r="C31" s="2">
        <v>1</v>
      </c>
      <c r="D31" s="2">
        <v>12</v>
      </c>
      <c r="E31" s="2">
        <v>11</v>
      </c>
      <c r="F31" s="3">
        <v>9.9393999999999996E-2</v>
      </c>
      <c r="G31" s="3">
        <v>9.7383999999999998E-2</v>
      </c>
      <c r="H31" s="3">
        <v>9.7819000000000003E-2</v>
      </c>
      <c r="I31" s="3">
        <v>9.8784999999999998E-2</v>
      </c>
      <c r="J31" s="3">
        <v>9.7361000000000003E-2</v>
      </c>
      <c r="K31" s="3">
        <v>9.5519999999999994E-2</v>
      </c>
      <c r="L31" s="3">
        <v>9.4450999999999993E-2</v>
      </c>
      <c r="M31" s="3">
        <v>9.9215999999999999E-2</v>
      </c>
      <c r="N31" s="3">
        <v>0.102524</v>
      </c>
      <c r="O31" s="3">
        <v>0.102191</v>
      </c>
      <c r="P31" s="3">
        <v>9.9753999999999995E-2</v>
      </c>
      <c r="Q31" s="3">
        <v>9.6336000000000005E-2</v>
      </c>
      <c r="R31" s="2" t="s">
        <v>19</v>
      </c>
    </row>
    <row r="32" spans="1:18">
      <c r="A32" s="2">
        <v>2119</v>
      </c>
      <c r="B32" s="2">
        <v>2025</v>
      </c>
      <c r="C32" s="2">
        <v>1</v>
      </c>
      <c r="D32" s="2">
        <v>13</v>
      </c>
      <c r="E32" s="2">
        <v>11</v>
      </c>
      <c r="F32" s="3">
        <v>0.69803999999999999</v>
      </c>
      <c r="G32" s="3">
        <v>0.57427899999999998</v>
      </c>
      <c r="H32" s="3">
        <v>0.71695299999999995</v>
      </c>
      <c r="I32" s="3">
        <v>0.75638099999999997</v>
      </c>
      <c r="J32" s="3">
        <v>0.60879399999999995</v>
      </c>
      <c r="K32" s="3">
        <v>0.55634799999999995</v>
      </c>
      <c r="L32" s="3">
        <v>0.574959</v>
      </c>
      <c r="M32" s="3">
        <v>0.93805099999999997</v>
      </c>
      <c r="N32" s="3">
        <v>0.92115899999999995</v>
      </c>
      <c r="O32" s="3">
        <v>0.74280599999999997</v>
      </c>
      <c r="P32" s="3">
        <v>0.60010600000000003</v>
      </c>
      <c r="Q32" s="3">
        <v>0.49001899999999998</v>
      </c>
      <c r="R32" s="2" t="s">
        <v>19</v>
      </c>
    </row>
    <row r="33" spans="1:18">
      <c r="A33" s="2">
        <v>2120</v>
      </c>
      <c r="B33" s="2">
        <v>2025</v>
      </c>
      <c r="C33" s="2">
        <v>1</v>
      </c>
      <c r="D33" s="2">
        <v>14</v>
      </c>
      <c r="E33" s="2">
        <v>10</v>
      </c>
      <c r="F33" s="3">
        <v>0.135989</v>
      </c>
      <c r="G33" s="3">
        <v>0.134271</v>
      </c>
      <c r="H33" s="3">
        <v>0.13397400000000001</v>
      </c>
      <c r="I33" s="3">
        <v>0.13453100000000001</v>
      </c>
      <c r="J33" s="3">
        <v>0.13372000000000001</v>
      </c>
      <c r="K33" s="3">
        <v>0.13237399999999999</v>
      </c>
      <c r="L33" s="3">
        <v>0.13131000000000001</v>
      </c>
      <c r="M33" s="3">
        <v>0.135105</v>
      </c>
      <c r="N33" s="3">
        <v>0.137957</v>
      </c>
      <c r="O33" s="3">
        <v>0.13834299999999999</v>
      </c>
      <c r="P33" s="3">
        <v>0.136877</v>
      </c>
      <c r="Q33" s="3">
        <v>0.134323</v>
      </c>
      <c r="R33" s="2" t="s">
        <v>19</v>
      </c>
    </row>
    <row r="34" spans="1:18">
      <c r="A34" s="2">
        <v>2121</v>
      </c>
      <c r="B34" s="2">
        <v>2025</v>
      </c>
      <c r="C34" s="2">
        <v>1</v>
      </c>
      <c r="D34" s="2">
        <v>15</v>
      </c>
      <c r="E34" s="2">
        <v>9</v>
      </c>
      <c r="F34" s="3">
        <v>2.5908E-2</v>
      </c>
      <c r="G34" s="3">
        <v>2.5877000000000001E-2</v>
      </c>
      <c r="H34" s="3">
        <v>2.5857999999999999E-2</v>
      </c>
      <c r="I34" s="3">
        <v>2.5899999999999999E-2</v>
      </c>
      <c r="J34" s="3">
        <v>2.5902999999999999E-2</v>
      </c>
      <c r="K34" s="3">
        <v>2.5833999999999999E-2</v>
      </c>
      <c r="L34" s="3">
        <v>2.5725999999999999E-2</v>
      </c>
      <c r="M34" s="3">
        <v>2.5902000000000001E-2</v>
      </c>
      <c r="N34" s="3">
        <v>2.6245999999999998E-2</v>
      </c>
      <c r="O34" s="3">
        <v>2.6563E-2</v>
      </c>
      <c r="P34" s="3">
        <v>2.6710000000000001E-2</v>
      </c>
      <c r="Q34" s="3">
        <v>2.6664E-2</v>
      </c>
      <c r="R34" s="2" t="s">
        <v>19</v>
      </c>
    </row>
    <row r="35" spans="1:18">
      <c r="A35" s="2">
        <v>2122</v>
      </c>
      <c r="B35" s="2">
        <v>2025</v>
      </c>
      <c r="C35" s="2">
        <v>1</v>
      </c>
      <c r="D35" s="2">
        <v>15</v>
      </c>
      <c r="E35" s="2">
        <v>10</v>
      </c>
      <c r="F35" s="3">
        <v>0.10620300000000001</v>
      </c>
      <c r="G35" s="3">
        <v>0.105668</v>
      </c>
      <c r="H35" s="3">
        <v>0.105323</v>
      </c>
      <c r="I35" s="3">
        <v>0.105223</v>
      </c>
      <c r="J35" s="3">
        <v>0.104902</v>
      </c>
      <c r="K35" s="3">
        <v>0.10438699999999999</v>
      </c>
      <c r="L35" s="3">
        <v>0.10384400000000001</v>
      </c>
      <c r="M35" s="3">
        <v>0.104437</v>
      </c>
      <c r="N35" s="3">
        <v>0.105285</v>
      </c>
      <c r="O35" s="3">
        <v>0.105721</v>
      </c>
      <c r="P35" s="3">
        <v>0.10556599999999999</v>
      </c>
      <c r="Q35" s="3">
        <v>0.10489900000000001</v>
      </c>
      <c r="R35" s="2" t="s">
        <v>19</v>
      </c>
    </row>
    <row r="36" spans="1:18">
      <c r="A36" s="2">
        <v>2123</v>
      </c>
      <c r="B36" s="2">
        <v>2025</v>
      </c>
      <c r="C36" s="2">
        <v>1</v>
      </c>
      <c r="D36" s="2">
        <v>16</v>
      </c>
      <c r="E36" s="2">
        <v>9</v>
      </c>
      <c r="F36" s="3">
        <v>4.0869999999999997E-2</v>
      </c>
      <c r="G36" s="3">
        <v>4.0857999999999998E-2</v>
      </c>
      <c r="H36" s="3">
        <v>4.0821999999999997E-2</v>
      </c>
      <c r="I36" s="3">
        <v>4.0813000000000002E-2</v>
      </c>
      <c r="J36" s="3">
        <v>4.0788999999999999E-2</v>
      </c>
      <c r="K36" s="3">
        <v>4.0724999999999997E-2</v>
      </c>
      <c r="L36" s="3">
        <v>4.0634000000000003E-2</v>
      </c>
      <c r="M36" s="3">
        <v>4.0717999999999997E-2</v>
      </c>
      <c r="N36" s="3">
        <v>4.0957E-2</v>
      </c>
      <c r="O36" s="3">
        <v>4.1231999999999998E-2</v>
      </c>
      <c r="P36" s="3">
        <v>4.1408E-2</v>
      </c>
      <c r="Q36" s="3">
        <v>4.1438000000000003E-2</v>
      </c>
      <c r="R36" s="2" t="s">
        <v>19</v>
      </c>
    </row>
    <row r="37" spans="1:18">
      <c r="A37" s="2">
        <v>2124</v>
      </c>
      <c r="B37" s="2">
        <v>2025</v>
      </c>
      <c r="C37" s="2">
        <v>1</v>
      </c>
      <c r="D37" s="2">
        <v>17</v>
      </c>
      <c r="E37" s="2">
        <v>8</v>
      </c>
      <c r="F37" s="3">
        <v>2.2466E-2</v>
      </c>
      <c r="G37" s="3">
        <v>2.2513999999999999E-2</v>
      </c>
      <c r="H37" s="3">
        <v>2.2540999999999999E-2</v>
      </c>
      <c r="I37" s="3">
        <v>2.2556E-2</v>
      </c>
      <c r="J37" s="3">
        <v>2.2564000000000001E-2</v>
      </c>
      <c r="K37" s="3">
        <v>2.2561999999999999E-2</v>
      </c>
      <c r="L37" s="3">
        <v>2.2551000000000002E-2</v>
      </c>
      <c r="M37" s="3">
        <v>2.2565000000000002E-2</v>
      </c>
      <c r="N37" s="3">
        <v>2.2620999999999999E-2</v>
      </c>
      <c r="O37" s="3">
        <v>2.2710999999999999E-2</v>
      </c>
      <c r="P37" s="3">
        <v>2.2800999999999998E-2</v>
      </c>
      <c r="Q37" s="3">
        <v>2.2866999999999998E-2</v>
      </c>
      <c r="R37" s="2" t="s">
        <v>19</v>
      </c>
    </row>
    <row r="38" spans="1:18">
      <c r="A38" s="2">
        <v>2125</v>
      </c>
      <c r="B38" s="2">
        <v>2025</v>
      </c>
      <c r="C38" s="2">
        <v>1</v>
      </c>
      <c r="D38" s="2">
        <v>18</v>
      </c>
      <c r="E38" s="2">
        <v>6</v>
      </c>
      <c r="F38" s="3">
        <v>4.2180000000000004E-3</v>
      </c>
      <c r="G38" s="3">
        <v>4.2319999999999997E-3</v>
      </c>
      <c r="H38" s="3">
        <v>4.2459999999999998E-3</v>
      </c>
      <c r="I38" s="3">
        <v>4.2579999999999996E-3</v>
      </c>
      <c r="J38" s="3">
        <v>4.2690000000000002E-3</v>
      </c>
      <c r="K38" s="3">
        <v>4.2779999999999997E-3</v>
      </c>
      <c r="L38" s="3">
        <v>4.2859999999999999E-3</v>
      </c>
      <c r="M38" s="3">
        <v>4.2929999999999999E-3</v>
      </c>
      <c r="N38" s="3">
        <v>4.3E-3</v>
      </c>
      <c r="O38" s="3">
        <v>4.3090000000000003E-3</v>
      </c>
      <c r="P38" s="3">
        <v>4.3200000000000001E-3</v>
      </c>
      <c r="Q38" s="3">
        <v>4.3319999999999999E-3</v>
      </c>
      <c r="R38" s="2" t="s">
        <v>19</v>
      </c>
    </row>
    <row r="39" spans="1:18">
      <c r="A39" s="2">
        <v>2126</v>
      </c>
      <c r="B39" s="2">
        <v>2025</v>
      </c>
      <c r="C39" s="2">
        <v>1</v>
      </c>
      <c r="D39" s="2">
        <v>18</v>
      </c>
      <c r="E39" s="2">
        <v>7</v>
      </c>
      <c r="F39" s="3">
        <v>1.0366999999999999E-2</v>
      </c>
      <c r="G39" s="3">
        <v>1.0401000000000001E-2</v>
      </c>
      <c r="H39" s="3">
        <v>1.0430999999999999E-2</v>
      </c>
      <c r="I39" s="3">
        <v>1.0453E-2</v>
      </c>
      <c r="J39" s="3">
        <v>1.047E-2</v>
      </c>
      <c r="K39" s="3">
        <v>1.0482E-2</v>
      </c>
      <c r="L39" s="3">
        <v>1.0489999999999999E-2</v>
      </c>
      <c r="M39" s="3">
        <v>1.0500000000000001E-2</v>
      </c>
      <c r="N39" s="3">
        <v>1.0515999999999999E-2</v>
      </c>
      <c r="O39" s="3">
        <v>1.0541999999999999E-2</v>
      </c>
      <c r="P39" s="3">
        <v>1.0574E-2</v>
      </c>
      <c r="Q39" s="3">
        <v>1.0606000000000001E-2</v>
      </c>
      <c r="R39" s="2" t="s">
        <v>19</v>
      </c>
    </row>
    <row r="40" spans="1:18">
      <c r="A40" s="2">
        <v>2127</v>
      </c>
      <c r="B40" s="2">
        <v>2025</v>
      </c>
      <c r="C40" s="2">
        <v>1</v>
      </c>
      <c r="D40" s="2">
        <v>19</v>
      </c>
      <c r="E40" s="2">
        <v>6</v>
      </c>
      <c r="F40" s="3">
        <v>5.1520000000000003E-3</v>
      </c>
      <c r="G40" s="3">
        <v>5.1669999999999997E-3</v>
      </c>
      <c r="H40" s="3">
        <v>5.1830000000000001E-3</v>
      </c>
      <c r="I40" s="3">
        <v>5.1970000000000002E-3</v>
      </c>
      <c r="J40" s="3">
        <v>5.2090000000000001E-3</v>
      </c>
      <c r="K40" s="3">
        <v>5.2189999999999997E-3</v>
      </c>
      <c r="L40" s="3">
        <v>5.2269999999999999E-3</v>
      </c>
      <c r="M40" s="3">
        <v>5.2339999999999999E-3</v>
      </c>
      <c r="N40" s="3">
        <v>5.2420000000000001E-3</v>
      </c>
      <c r="O40" s="3">
        <v>5.2519999999999997E-3</v>
      </c>
      <c r="P40" s="3">
        <v>5.2639999999999996E-3</v>
      </c>
      <c r="Q40" s="3">
        <v>5.2769999999999996E-3</v>
      </c>
      <c r="R40" s="2" t="s">
        <v>19</v>
      </c>
    </row>
    <row r="41" spans="1:18">
      <c r="A41" s="2">
        <v>2128</v>
      </c>
      <c r="B41" s="2">
        <v>2025</v>
      </c>
      <c r="C41" s="2">
        <v>1</v>
      </c>
      <c r="D41" s="2">
        <v>20</v>
      </c>
      <c r="E41" s="2">
        <v>5</v>
      </c>
      <c r="F41" s="3">
        <v>3.15E-3</v>
      </c>
      <c r="G41" s="3">
        <v>3.156E-3</v>
      </c>
      <c r="H41" s="3">
        <v>3.163E-3</v>
      </c>
      <c r="I41" s="3">
        <v>3.1689999999999999E-3</v>
      </c>
      <c r="J41" s="3">
        <v>3.1749999999999999E-3</v>
      </c>
      <c r="K41" s="3">
        <v>3.1809999999999998E-3</v>
      </c>
      <c r="L41" s="3">
        <v>3.186E-3</v>
      </c>
      <c r="M41" s="3">
        <v>3.1909999999999998E-3</v>
      </c>
      <c r="N41" s="3">
        <v>3.1949999999999999E-3</v>
      </c>
      <c r="O41" s="3">
        <v>3.2000000000000002E-3</v>
      </c>
      <c r="P41" s="3">
        <v>3.2049999999999999E-3</v>
      </c>
      <c r="Q41" s="3">
        <v>3.2100000000000002E-3</v>
      </c>
      <c r="R41" s="2" t="s">
        <v>19</v>
      </c>
    </row>
    <row r="42" spans="1:18">
      <c r="A42" s="2">
        <v>2129</v>
      </c>
      <c r="B42" s="2">
        <v>2025</v>
      </c>
      <c r="C42" s="2">
        <v>1</v>
      </c>
      <c r="D42" s="2">
        <v>21</v>
      </c>
      <c r="E42" s="2">
        <v>4</v>
      </c>
      <c r="F42" s="3">
        <v>1.601E-3</v>
      </c>
      <c r="G42" s="3">
        <v>1.603E-3</v>
      </c>
      <c r="H42" s="3">
        <v>1.606E-3</v>
      </c>
      <c r="I42" s="3">
        <v>1.609E-3</v>
      </c>
      <c r="J42" s="3">
        <v>1.6119999999999999E-3</v>
      </c>
      <c r="K42" s="3">
        <v>1.6149999999999999E-3</v>
      </c>
      <c r="L42" s="3">
        <v>1.6180000000000001E-3</v>
      </c>
      <c r="M42" s="3">
        <v>1.621E-3</v>
      </c>
      <c r="N42" s="3">
        <v>1.624E-3</v>
      </c>
      <c r="O42" s="3">
        <v>1.6260000000000001E-3</v>
      </c>
      <c r="P42" s="3">
        <v>1.629E-3</v>
      </c>
      <c r="Q42" s="3">
        <v>1.632E-3</v>
      </c>
      <c r="R42" s="2" t="s">
        <v>19</v>
      </c>
    </row>
    <row r="43" spans="1:18">
      <c r="A43" s="2">
        <v>2130</v>
      </c>
      <c r="B43" s="2">
        <v>2025</v>
      </c>
      <c r="C43" s="2">
        <v>1</v>
      </c>
      <c r="D43" s="2">
        <v>21</v>
      </c>
      <c r="E43" s="2">
        <v>5</v>
      </c>
      <c r="F43" s="3">
        <v>2.1649999999999998E-3</v>
      </c>
      <c r="G43" s="3">
        <v>2.1689999999999999E-3</v>
      </c>
      <c r="H43" s="3">
        <v>2.173E-3</v>
      </c>
      <c r="I43" s="3">
        <v>2.1779999999999998E-3</v>
      </c>
      <c r="J43" s="3">
        <v>2.183E-3</v>
      </c>
      <c r="K43" s="3">
        <v>2.1879999999999998E-3</v>
      </c>
      <c r="L43" s="3">
        <v>2.1930000000000001E-3</v>
      </c>
      <c r="M43" s="3">
        <v>2.1970000000000002E-3</v>
      </c>
      <c r="N43" s="3">
        <v>2.2009999999999998E-3</v>
      </c>
      <c r="O43" s="3">
        <v>2.2049999999999999E-3</v>
      </c>
      <c r="P43" s="3">
        <v>2.2100000000000002E-3</v>
      </c>
      <c r="Q43" s="3">
        <v>2.2139999999999998E-3</v>
      </c>
      <c r="R43" s="2" t="s">
        <v>19</v>
      </c>
    </row>
    <row r="44" spans="1:18">
      <c r="A44" s="2">
        <v>2131</v>
      </c>
      <c r="B44" s="2">
        <v>2025</v>
      </c>
      <c r="C44" s="2">
        <v>1</v>
      </c>
      <c r="D44" s="2">
        <v>22</v>
      </c>
      <c r="E44" s="2">
        <v>4</v>
      </c>
      <c r="F44" s="3">
        <v>1.621E-3</v>
      </c>
      <c r="G44" s="3">
        <v>1.624E-3</v>
      </c>
      <c r="H44" s="3">
        <v>1.627E-3</v>
      </c>
      <c r="I44" s="3">
        <v>1.6299999999999999E-3</v>
      </c>
      <c r="J44" s="3">
        <v>1.6329999999999999E-3</v>
      </c>
      <c r="K44" s="3">
        <v>1.637E-3</v>
      </c>
      <c r="L44" s="3">
        <v>1.64E-3</v>
      </c>
      <c r="M44" s="3">
        <v>1.6429999999999999E-3</v>
      </c>
      <c r="N44" s="3">
        <v>1.6459999999999999E-3</v>
      </c>
      <c r="O44" s="3">
        <v>1.65E-3</v>
      </c>
      <c r="P44" s="3">
        <v>1.653E-3</v>
      </c>
      <c r="Q44" s="3">
        <v>1.6559999999999999E-3</v>
      </c>
      <c r="R44" s="2" t="s">
        <v>19</v>
      </c>
    </row>
    <row r="45" spans="1:18">
      <c r="A45" s="2">
        <v>2132</v>
      </c>
      <c r="B45" s="2">
        <v>2025</v>
      </c>
      <c r="C45" s="2">
        <v>1</v>
      </c>
      <c r="D45" s="2">
        <v>23</v>
      </c>
      <c r="E45" s="2">
        <v>3</v>
      </c>
      <c r="F45" s="3">
        <v>5.5000000000000003E-4</v>
      </c>
      <c r="G45" s="3">
        <v>5.5000000000000003E-4</v>
      </c>
      <c r="H45" s="3">
        <v>5.5000000000000003E-4</v>
      </c>
      <c r="I45" s="3">
        <v>5.5000000000000003E-4</v>
      </c>
      <c r="J45" s="3">
        <v>5.5000000000000003E-4</v>
      </c>
      <c r="K45" s="3">
        <v>5.5000000000000003E-4</v>
      </c>
      <c r="L45" s="3">
        <v>5.5000000000000003E-4</v>
      </c>
      <c r="M45" s="3">
        <v>5.5000000000000003E-4</v>
      </c>
      <c r="N45" s="3">
        <v>5.5000000000000003E-4</v>
      </c>
      <c r="O45" s="3">
        <v>5.5000000000000003E-4</v>
      </c>
      <c r="P45" s="3">
        <v>5.5000000000000003E-4</v>
      </c>
      <c r="Q45" s="3">
        <v>5.5000000000000003E-4</v>
      </c>
      <c r="R45" s="2" t="s">
        <v>19</v>
      </c>
    </row>
    <row r="46" spans="1:18">
      <c r="A46" s="2">
        <v>2135</v>
      </c>
      <c r="B46" s="2">
        <v>2025</v>
      </c>
      <c r="C46" s="2" t="s">
        <v>20</v>
      </c>
      <c r="D46" s="2" t="s">
        <v>21</v>
      </c>
      <c r="E46" s="2" t="s">
        <v>22</v>
      </c>
      <c r="F46" s="3">
        <v>1.3689750000000001</v>
      </c>
      <c r="G46" s="3">
        <v>1.2405349999999999</v>
      </c>
      <c r="H46" s="3">
        <v>1.3828469999999999</v>
      </c>
      <c r="I46" s="3">
        <v>1.4238850000000001</v>
      </c>
      <c r="J46" s="3">
        <v>1.273479</v>
      </c>
      <c r="K46" s="3">
        <v>1.2166509999999999</v>
      </c>
      <c r="L46" s="3">
        <v>1.2318070000000001</v>
      </c>
      <c r="M46" s="3">
        <v>1.6051040000000001</v>
      </c>
      <c r="N46" s="3">
        <v>1.5970420000000001</v>
      </c>
      <c r="O46" s="3">
        <v>1.4205300000000001</v>
      </c>
      <c r="P46" s="3">
        <v>1.2741070000000001</v>
      </c>
      <c r="Q46" s="3">
        <v>1.156698</v>
      </c>
    </row>
    <row r="47" spans="1:18">
      <c r="A47" s="2">
        <v>2133</v>
      </c>
      <c r="B47" s="2">
        <v>2025</v>
      </c>
      <c r="C47" s="2" t="s">
        <v>23</v>
      </c>
      <c r="D47" s="2" t="s">
        <v>24</v>
      </c>
      <c r="E47" s="2" t="s">
        <v>25</v>
      </c>
      <c r="F47" s="3">
        <v>8.4157999999999997E-2</v>
      </c>
      <c r="G47" s="3">
        <v>8.4242999999999998E-2</v>
      </c>
      <c r="H47" s="3">
        <v>8.4332000000000004E-2</v>
      </c>
      <c r="I47" s="3">
        <v>8.4415000000000004E-2</v>
      </c>
      <c r="J47" s="3">
        <v>8.4498000000000004E-2</v>
      </c>
      <c r="K47" s="3">
        <v>8.4571999999999994E-2</v>
      </c>
      <c r="L47" s="3">
        <v>8.4642999999999996E-2</v>
      </c>
      <c r="M47" s="3">
        <v>8.4712999999999997E-2</v>
      </c>
      <c r="N47" s="3">
        <v>8.4787000000000001E-2</v>
      </c>
      <c r="O47" s="3">
        <v>8.4873000000000004E-2</v>
      </c>
      <c r="P47" s="3">
        <v>8.4961999999999996E-2</v>
      </c>
      <c r="Q47" s="3">
        <v>8.5054000000000005E-2</v>
      </c>
    </row>
    <row r="48" spans="1:18">
      <c r="A48" s="2">
        <v>2137</v>
      </c>
      <c r="B48" s="2">
        <v>2025</v>
      </c>
      <c r="C48" s="2" t="s">
        <v>26</v>
      </c>
      <c r="D48" s="2" t="s">
        <v>27</v>
      </c>
      <c r="E48" s="2" t="s">
        <v>28</v>
      </c>
      <c r="F48" s="3">
        <v>5.2950000000000002E-3</v>
      </c>
      <c r="G48" s="3">
        <v>5.3140000000000001E-3</v>
      </c>
      <c r="H48" s="3">
        <v>5.3359999999999996E-3</v>
      </c>
      <c r="I48" s="3">
        <v>5.3579999999999999E-3</v>
      </c>
      <c r="J48" s="3">
        <v>5.3800000000000002E-3</v>
      </c>
      <c r="K48" s="3">
        <v>5.4019999999999997E-3</v>
      </c>
      <c r="L48" s="3">
        <v>5.424E-3</v>
      </c>
      <c r="M48" s="3">
        <v>5.4469999999999996E-3</v>
      </c>
      <c r="N48" s="3">
        <v>5.4679999999999998E-3</v>
      </c>
      <c r="O48" s="3">
        <v>5.4910000000000002E-3</v>
      </c>
      <c r="P48" s="3">
        <v>5.5120000000000004E-3</v>
      </c>
      <c r="Q48" s="3">
        <v>5.5339999999999999E-3</v>
      </c>
    </row>
    <row r="49" spans="1:18">
      <c r="A49" s="2">
        <v>2134</v>
      </c>
      <c r="B49" s="2">
        <v>2025</v>
      </c>
      <c r="C49" s="2" t="s">
        <v>29</v>
      </c>
      <c r="D49" s="2" t="s">
        <v>30</v>
      </c>
      <c r="E49" s="2" t="s">
        <v>25</v>
      </c>
      <c r="F49" s="3">
        <v>2.8913999999999999E-2</v>
      </c>
      <c r="G49" s="3">
        <v>2.8978E-2</v>
      </c>
      <c r="H49" s="3">
        <v>2.9048999999999998E-2</v>
      </c>
      <c r="I49" s="3">
        <v>2.9118999999999999E-2</v>
      </c>
      <c r="J49" s="3">
        <v>2.9190000000000001E-2</v>
      </c>
      <c r="K49" s="3">
        <v>2.9259E-2</v>
      </c>
      <c r="L49" s="3">
        <v>2.9329000000000001E-2</v>
      </c>
      <c r="M49" s="3">
        <v>2.9398000000000001E-2</v>
      </c>
      <c r="N49" s="3">
        <v>2.9465000000000002E-2</v>
      </c>
      <c r="O49" s="3">
        <v>2.9534000000000001E-2</v>
      </c>
      <c r="P49" s="3">
        <v>2.9602E-2</v>
      </c>
      <c r="Q49" s="3">
        <v>2.9673000000000001E-2</v>
      </c>
    </row>
    <row r="50" spans="1:18">
      <c r="A50" s="2">
        <v>2136</v>
      </c>
      <c r="B50" s="2">
        <v>2025</v>
      </c>
      <c r="C50" s="2" t="s">
        <v>20</v>
      </c>
      <c r="D50" s="2" t="s">
        <v>31</v>
      </c>
      <c r="E50" s="2" t="s">
        <v>32</v>
      </c>
      <c r="F50" s="3">
        <v>1.482048</v>
      </c>
      <c r="G50" s="3">
        <v>1.353756</v>
      </c>
      <c r="H50" s="3">
        <v>1.4962279999999999</v>
      </c>
      <c r="I50" s="3">
        <v>1.5374190000000001</v>
      </c>
      <c r="J50" s="3">
        <v>1.387167</v>
      </c>
      <c r="K50" s="3">
        <v>1.3304819999999999</v>
      </c>
      <c r="L50" s="3">
        <v>1.3457790000000001</v>
      </c>
      <c r="M50" s="3">
        <v>1.7192149999999999</v>
      </c>
      <c r="N50" s="3">
        <v>1.7112940000000001</v>
      </c>
      <c r="O50" s="3">
        <v>1.534937</v>
      </c>
      <c r="P50" s="3">
        <v>1.3886719999999999</v>
      </c>
      <c r="Q50" s="3">
        <v>1.271425</v>
      </c>
    </row>
    <row r="51" spans="1:18">
      <c r="F51" s="2" t="s">
        <v>33</v>
      </c>
      <c r="G51" s="2" t="s">
        <v>34</v>
      </c>
      <c r="H51" s="2" t="s">
        <v>35</v>
      </c>
      <c r="I51" s="2" t="s">
        <v>36</v>
      </c>
      <c r="J51" s="2" t="s">
        <v>37</v>
      </c>
      <c r="K51" s="2" t="s">
        <v>38</v>
      </c>
      <c r="L51" s="2" t="s">
        <v>39</v>
      </c>
      <c r="M51" s="2" t="s">
        <v>40</v>
      </c>
      <c r="N51" s="2" t="s">
        <v>41</v>
      </c>
      <c r="O51" s="2" t="s">
        <v>42</v>
      </c>
      <c r="P51" s="2" t="s">
        <v>43</v>
      </c>
      <c r="Q51" s="2" t="s">
        <v>44</v>
      </c>
    </row>
    <row r="52" spans="1:18">
      <c r="E52" s="2" t="s">
        <v>45</v>
      </c>
      <c r="F52" s="2">
        <v>31</v>
      </c>
      <c r="G52" s="2">
        <v>28</v>
      </c>
      <c r="H52" s="2">
        <v>31</v>
      </c>
      <c r="I52" s="2">
        <v>30</v>
      </c>
      <c r="J52" s="2">
        <v>31</v>
      </c>
      <c r="K52" s="2">
        <v>30</v>
      </c>
      <c r="L52" s="2">
        <v>31</v>
      </c>
      <c r="M52" s="2">
        <v>31</v>
      </c>
      <c r="N52" s="2">
        <v>30</v>
      </c>
      <c r="O52" s="2">
        <v>31</v>
      </c>
      <c r="P52" s="2">
        <v>30</v>
      </c>
      <c r="Q52" s="2">
        <v>31</v>
      </c>
    </row>
    <row r="53" spans="1:18">
      <c r="C53" s="2" t="s">
        <v>46</v>
      </c>
      <c r="F53" s="4">
        <v>0.14160400000000001</v>
      </c>
      <c r="G53" s="4">
        <v>0.14155400000000001</v>
      </c>
      <c r="H53" s="4">
        <v>0.14147799999999999</v>
      </c>
      <c r="I53" s="4">
        <v>0.14144599999999999</v>
      </c>
      <c r="J53" s="4">
        <v>0.14137</v>
      </c>
      <c r="K53" s="4">
        <v>0.141211</v>
      </c>
      <c r="L53" s="4">
        <v>0.140988</v>
      </c>
      <c r="M53" s="4">
        <v>0.141009</v>
      </c>
      <c r="N53" s="4">
        <v>0.14126900000000001</v>
      </c>
      <c r="O53" s="4">
        <v>0.141568</v>
      </c>
      <c r="P53" s="4">
        <v>0.14172100000000001</v>
      </c>
      <c r="Q53" s="4">
        <v>0.141647</v>
      </c>
    </row>
    <row r="54" spans="1:18" ht="15.75" thickBot="1">
      <c r="C54" s="2" t="s">
        <v>47</v>
      </c>
      <c r="F54" s="4">
        <v>1.2273719999999999</v>
      </c>
      <c r="G54" s="4">
        <v>1.098981</v>
      </c>
      <c r="H54" s="4">
        <v>1.2413689999999999</v>
      </c>
      <c r="I54" s="4">
        <v>1.2824390000000001</v>
      </c>
      <c r="J54" s="4">
        <v>1.132107</v>
      </c>
      <c r="K54" s="4">
        <v>1.07544</v>
      </c>
      <c r="L54" s="4">
        <v>1.090819</v>
      </c>
      <c r="M54" s="4">
        <v>1.4640949999999999</v>
      </c>
      <c r="N54" s="4">
        <v>1.455773</v>
      </c>
      <c r="O54" s="4">
        <v>1.278961</v>
      </c>
      <c r="P54" s="4">
        <v>1.1323890000000001</v>
      </c>
      <c r="Q54" s="4">
        <v>1.015053</v>
      </c>
    </row>
    <row r="55" spans="1:18" ht="15.75" thickBot="1">
      <c r="C55" s="19"/>
      <c r="D55" s="19"/>
      <c r="E55" s="19"/>
      <c r="F55" s="20" t="s">
        <v>5</v>
      </c>
      <c r="G55" s="20" t="s">
        <v>6</v>
      </c>
      <c r="H55" s="20" t="s">
        <v>7</v>
      </c>
      <c r="I55" s="20" t="s">
        <v>8</v>
      </c>
      <c r="J55" s="20" t="s">
        <v>9</v>
      </c>
      <c r="K55" s="20" t="s">
        <v>10</v>
      </c>
      <c r="L55" s="20" t="s">
        <v>11</v>
      </c>
      <c r="M55" s="20" t="s">
        <v>12</v>
      </c>
      <c r="N55" s="20" t="s">
        <v>13</v>
      </c>
      <c r="O55" s="20" t="s">
        <v>14</v>
      </c>
      <c r="P55" s="20" t="s">
        <v>15</v>
      </c>
      <c r="Q55" s="20" t="s">
        <v>16</v>
      </c>
      <c r="R55" s="20" t="s">
        <v>48</v>
      </c>
    </row>
    <row r="56" spans="1:18">
      <c r="C56" s="11" t="s">
        <v>46</v>
      </c>
      <c r="D56" s="12"/>
      <c r="E56" s="11" t="s">
        <v>49</v>
      </c>
      <c r="F56" s="13">
        <v>8.7068905785123967</v>
      </c>
      <c r="G56" s="13">
        <v>7.8615114049586783</v>
      </c>
      <c r="H56" s="13">
        <v>8.6991431404958668</v>
      </c>
      <c r="I56" s="13">
        <v>8.4166214876033045</v>
      </c>
      <c r="J56" s="13">
        <v>8.6925024793388435</v>
      </c>
      <c r="K56" s="13">
        <v>8.4026380165289254</v>
      </c>
      <c r="L56" s="13">
        <v>8.6690142148760323</v>
      </c>
      <c r="M56" s="13">
        <v>8.6703054545454545</v>
      </c>
      <c r="N56" s="13">
        <v>8.4060892561983476</v>
      </c>
      <c r="O56" s="13">
        <v>8.7046770247933889</v>
      </c>
      <c r="P56" s="13">
        <v>8.4329851239669402</v>
      </c>
      <c r="Q56" s="13">
        <v>8.7095345454545452</v>
      </c>
      <c r="R56" s="14">
        <v>102.3719127272727</v>
      </c>
    </row>
    <row r="57" spans="1:18" ht="15.75" thickBot="1">
      <c r="C57" s="15" t="s">
        <v>47</v>
      </c>
      <c r="D57" s="16"/>
      <c r="E57" s="15" t="s">
        <v>50</v>
      </c>
      <c r="F57" s="17">
        <v>75.468162644628123</v>
      </c>
      <c r="G57" s="17">
        <v>61.034316694214887</v>
      </c>
      <c r="H57" s="17">
        <v>76.328804628099164</v>
      </c>
      <c r="I57" s="17">
        <v>76.310419834710757</v>
      </c>
      <c r="J57" s="17">
        <v>69.610546115702491</v>
      </c>
      <c r="K57" s="17">
        <v>63.993123966942171</v>
      </c>
      <c r="L57" s="17">
        <v>67.07184595041322</v>
      </c>
      <c r="M57" s="17">
        <v>90.023692561983495</v>
      </c>
      <c r="N57" s="17">
        <v>86.624509090909072</v>
      </c>
      <c r="O57" s="17">
        <v>78.640246611570205</v>
      </c>
      <c r="P57" s="17">
        <v>67.381824793388432</v>
      </c>
      <c r="Q57" s="17">
        <v>62.413176198347102</v>
      </c>
      <c r="R57" s="18">
        <v>874.9006690909091</v>
      </c>
    </row>
    <row r="58" spans="1:18">
      <c r="C58" s="2" t="s">
        <v>51</v>
      </c>
      <c r="F58" s="5">
        <v>84.175053223140523</v>
      </c>
      <c r="G58" s="5">
        <v>68.895828099173571</v>
      </c>
      <c r="H58" s="5">
        <v>85.027947768595027</v>
      </c>
      <c r="I58" s="5">
        <v>84.727041322314065</v>
      </c>
      <c r="J58" s="5">
        <v>78.303048595041332</v>
      </c>
      <c r="K58" s="5">
        <v>72.39576198347109</v>
      </c>
      <c r="L58" s="5">
        <v>75.740860165289249</v>
      </c>
      <c r="M58" s="5">
        <v>98.693998016528951</v>
      </c>
      <c r="N58" s="5">
        <v>95.030598347107414</v>
      </c>
      <c r="O58" s="5">
        <v>87.344923636363589</v>
      </c>
      <c r="P58" s="5">
        <v>75.814809917355376</v>
      </c>
      <c r="Q58" s="5">
        <v>71.122710743801647</v>
      </c>
      <c r="R58" s="2" t="s">
        <v>52</v>
      </c>
    </row>
    <row r="59" spans="1:18">
      <c r="C59" s="2" t="s">
        <v>53</v>
      </c>
      <c r="F59" s="5">
        <v>84.174991735537191</v>
      </c>
      <c r="G59" s="5">
        <v>68.895828099173556</v>
      </c>
      <c r="H59" s="5">
        <v>85.027947768595041</v>
      </c>
      <c r="I59" s="5">
        <v>84.727041322314065</v>
      </c>
      <c r="J59" s="5">
        <v>78.303171570247926</v>
      </c>
      <c r="K59" s="5">
        <v>72.395761983471075</v>
      </c>
      <c r="L59" s="5">
        <v>75.740860165289277</v>
      </c>
      <c r="M59" s="5">
        <v>98.693998016528937</v>
      </c>
      <c r="N59" s="5">
        <v>95.030598347107443</v>
      </c>
      <c r="O59" s="5">
        <v>87.34498512396695</v>
      </c>
      <c r="P59" s="5">
        <v>75.814631404958675</v>
      </c>
      <c r="Q59" s="5">
        <v>71.122587768595054</v>
      </c>
      <c r="R59" s="2" t="s">
        <v>52</v>
      </c>
    </row>
    <row r="60" spans="1:18" ht="105">
      <c r="C60" s="7" t="s">
        <v>54</v>
      </c>
      <c r="F60" s="5">
        <v>42.920806611570249</v>
      </c>
      <c r="G60" s="5">
        <v>31.893841983471081</v>
      </c>
      <c r="H60" s="5">
        <v>44.083721652892557</v>
      </c>
      <c r="I60" s="5">
        <v>45.007795041322318</v>
      </c>
      <c r="J60" s="5">
        <v>37.433283966942142</v>
      </c>
      <c r="K60" s="5">
        <v>33.105004958677682</v>
      </c>
      <c r="L60" s="5">
        <v>35.352850909090911</v>
      </c>
      <c r="M60" s="5">
        <v>57.678507768595033</v>
      </c>
      <c r="N60" s="5">
        <v>54.812766942148762</v>
      </c>
      <c r="O60" s="5">
        <v>45.67336066115702</v>
      </c>
      <c r="P60" s="5">
        <v>35.708786776859498</v>
      </c>
      <c r="Q60" s="5">
        <v>30.130093884297519</v>
      </c>
      <c r="R60" s="6">
        <v>493.80082115702481</v>
      </c>
    </row>
    <row r="62" spans="1:18">
      <c r="C62" s="8" t="s">
        <v>55</v>
      </c>
    </row>
    <row r="63" spans="1:18">
      <c r="C63" s="9" t="s">
        <v>56</v>
      </c>
      <c r="F63" s="10">
        <f t="shared" ref="F63:Q63" si="0">SUMIF($R$2:$R$45,"above",F$2:F$45)-F53</f>
        <v>0</v>
      </c>
      <c r="G63" s="10">
        <f t="shared" si="0"/>
        <v>0</v>
      </c>
      <c r="H63" s="10">
        <f t="shared" si="0"/>
        <v>0</v>
      </c>
      <c r="I63" s="10">
        <f t="shared" si="0"/>
        <v>0</v>
      </c>
      <c r="J63" s="10">
        <f t="shared" si="0"/>
        <v>0</v>
      </c>
      <c r="K63" s="10">
        <f t="shared" si="0"/>
        <v>0</v>
      </c>
      <c r="L63" s="10">
        <f t="shared" si="0"/>
        <v>0</v>
      </c>
      <c r="M63" s="10">
        <f t="shared" si="0"/>
        <v>0</v>
      </c>
      <c r="N63" s="10">
        <f t="shared" si="0"/>
        <v>0</v>
      </c>
      <c r="O63" s="10">
        <f t="shared" si="0"/>
        <v>0</v>
      </c>
      <c r="P63" s="10">
        <f t="shared" si="0"/>
        <v>0</v>
      </c>
      <c r="Q63" s="10">
        <f t="shared" si="0"/>
        <v>0</v>
      </c>
    </row>
    <row r="64" spans="1:18">
      <c r="C64" s="9" t="s">
        <v>57</v>
      </c>
      <c r="F64" s="10">
        <f t="shared" ref="F64:Q64" si="1">SUMIF($R$2:$R$45,"below",F$2:F$45)-F54</f>
        <v>0</v>
      </c>
      <c r="G64" s="10">
        <f t="shared" si="1"/>
        <v>0</v>
      </c>
      <c r="H64" s="10">
        <f t="shared" si="1"/>
        <v>0</v>
      </c>
      <c r="I64" s="10">
        <f t="shared" si="1"/>
        <v>0</v>
      </c>
      <c r="J64" s="10">
        <f t="shared" si="1"/>
        <v>0</v>
      </c>
      <c r="K64" s="10">
        <f t="shared" si="1"/>
        <v>0</v>
      </c>
      <c r="L64" s="10">
        <f t="shared" si="1"/>
        <v>0</v>
      </c>
      <c r="M64" s="10">
        <f t="shared" si="1"/>
        <v>0</v>
      </c>
      <c r="N64" s="10">
        <f t="shared" si="1"/>
        <v>0</v>
      </c>
      <c r="O64" s="10">
        <f t="shared" si="1"/>
        <v>0</v>
      </c>
      <c r="P64" s="10">
        <f t="shared" si="1"/>
        <v>0</v>
      </c>
      <c r="Q64" s="10">
        <f t="shared" si="1"/>
        <v>0</v>
      </c>
    </row>
    <row r="65" spans="3:18">
      <c r="C65" s="9" t="s">
        <v>58</v>
      </c>
      <c r="F65" s="10">
        <f t="shared" ref="F65:Q65" si="2">SUM(F20:F29)-F53</f>
        <v>0</v>
      </c>
      <c r="G65" s="10">
        <f t="shared" si="2"/>
        <v>0</v>
      </c>
      <c r="H65" s="10">
        <f t="shared" si="2"/>
        <v>0</v>
      </c>
      <c r="I65" s="10">
        <f t="shared" si="2"/>
        <v>0</v>
      </c>
      <c r="J65" s="10">
        <f t="shared" si="2"/>
        <v>0</v>
      </c>
      <c r="K65" s="10">
        <f t="shared" si="2"/>
        <v>0</v>
      </c>
      <c r="L65" s="10">
        <f t="shared" si="2"/>
        <v>0</v>
      </c>
      <c r="M65" s="10">
        <f t="shared" si="2"/>
        <v>0</v>
      </c>
      <c r="N65" s="10">
        <f t="shared" si="2"/>
        <v>0</v>
      </c>
      <c r="O65" s="10">
        <f t="shared" si="2"/>
        <v>0</v>
      </c>
      <c r="P65" s="10">
        <f t="shared" si="2"/>
        <v>0</v>
      </c>
      <c r="Q65" s="10">
        <f t="shared" si="2"/>
        <v>0</v>
      </c>
    </row>
    <row r="66" spans="3:18">
      <c r="C66" s="9" t="s">
        <v>59</v>
      </c>
      <c r="F66" s="10">
        <f t="shared" ref="F66:Q66" si="3">SUM(F30:F45)-F54</f>
        <v>0</v>
      </c>
      <c r="G66" s="10">
        <f t="shared" si="3"/>
        <v>0</v>
      </c>
      <c r="H66" s="10">
        <f t="shared" si="3"/>
        <v>0</v>
      </c>
      <c r="I66" s="10">
        <f t="shared" si="3"/>
        <v>0</v>
      </c>
      <c r="J66" s="10">
        <f t="shared" si="3"/>
        <v>0</v>
      </c>
      <c r="K66" s="10">
        <f t="shared" si="3"/>
        <v>0</v>
      </c>
      <c r="L66" s="10">
        <f t="shared" si="3"/>
        <v>0</v>
      </c>
      <c r="M66" s="10">
        <f t="shared" si="3"/>
        <v>0</v>
      </c>
      <c r="N66" s="10">
        <f t="shared" si="3"/>
        <v>0</v>
      </c>
      <c r="O66" s="10">
        <f t="shared" si="3"/>
        <v>0</v>
      </c>
      <c r="P66" s="10">
        <f t="shared" si="3"/>
        <v>0</v>
      </c>
      <c r="Q66" s="10">
        <f t="shared" si="3"/>
        <v>0</v>
      </c>
    </row>
    <row r="67" spans="3:18">
      <c r="C67" s="9" t="s">
        <v>60</v>
      </c>
      <c r="F67" s="10">
        <f t="shared" ref="F67:Q67" si="4">F53*F52*86400/43560-F56</f>
        <v>0</v>
      </c>
      <c r="G67" s="10">
        <f t="shared" si="4"/>
        <v>0</v>
      </c>
      <c r="H67" s="10">
        <f t="shared" si="4"/>
        <v>0</v>
      </c>
      <c r="I67" s="10">
        <f t="shared" si="4"/>
        <v>0</v>
      </c>
      <c r="J67" s="10">
        <f t="shared" si="4"/>
        <v>0</v>
      </c>
      <c r="K67" s="10">
        <f t="shared" si="4"/>
        <v>0</v>
      </c>
      <c r="L67" s="10">
        <f t="shared" si="4"/>
        <v>0</v>
      </c>
      <c r="M67" s="10">
        <f t="shared" si="4"/>
        <v>0</v>
      </c>
      <c r="N67" s="10">
        <f t="shared" si="4"/>
        <v>0</v>
      </c>
      <c r="O67" s="10">
        <f t="shared" si="4"/>
        <v>0</v>
      </c>
      <c r="P67" s="10">
        <f t="shared" si="4"/>
        <v>0</v>
      </c>
      <c r="Q67" s="10">
        <f t="shared" si="4"/>
        <v>0</v>
      </c>
      <c r="R67" s="10">
        <f>SUM(F67:Q67)</f>
        <v>0</v>
      </c>
    </row>
    <row r="68" spans="3:18">
      <c r="C68" s="9" t="s">
        <v>61</v>
      </c>
      <c r="F68" s="10">
        <f t="shared" ref="F68:Q68" si="5">F54*F52*86400/43560-F57</f>
        <v>0</v>
      </c>
      <c r="G68" s="10">
        <f t="shared" si="5"/>
        <v>0</v>
      </c>
      <c r="H68" s="10">
        <f t="shared" si="5"/>
        <v>0</v>
      </c>
      <c r="I68" s="10">
        <f t="shared" si="5"/>
        <v>0</v>
      </c>
      <c r="J68" s="10">
        <f t="shared" si="5"/>
        <v>0</v>
      </c>
      <c r="K68" s="10">
        <f t="shared" si="5"/>
        <v>0</v>
      </c>
      <c r="L68" s="10">
        <f t="shared" si="5"/>
        <v>0</v>
      </c>
      <c r="M68" s="10">
        <f t="shared" si="5"/>
        <v>0</v>
      </c>
      <c r="N68" s="10">
        <f t="shared" si="5"/>
        <v>0</v>
      </c>
      <c r="O68" s="10">
        <f t="shared" si="5"/>
        <v>0</v>
      </c>
      <c r="P68" s="10">
        <f t="shared" si="5"/>
        <v>0</v>
      </c>
      <c r="Q68" s="10">
        <f t="shared" si="5"/>
        <v>0</v>
      </c>
      <c r="R68" s="10">
        <f>SUM(F68:Q68)</f>
        <v>0</v>
      </c>
    </row>
    <row r="69" spans="3:18">
      <c r="C69" s="9" t="s">
        <v>62</v>
      </c>
      <c r="F69" s="10">
        <f t="shared" ref="F69:Q69" si="6">F56+F57-F58</f>
        <v>0</v>
      </c>
      <c r="G69" s="10">
        <f t="shared" si="6"/>
        <v>0</v>
      </c>
      <c r="H69" s="10">
        <f t="shared" si="6"/>
        <v>0</v>
      </c>
      <c r="I69" s="10">
        <f t="shared" si="6"/>
        <v>0</v>
      </c>
      <c r="J69" s="10">
        <f t="shared" si="6"/>
        <v>0</v>
      </c>
      <c r="K69" s="10">
        <f t="shared" si="6"/>
        <v>0</v>
      </c>
      <c r="L69" s="10">
        <f t="shared" si="6"/>
        <v>0</v>
      </c>
      <c r="M69" s="10">
        <f t="shared" si="6"/>
        <v>0</v>
      </c>
      <c r="N69" s="10">
        <f t="shared" si="6"/>
        <v>0</v>
      </c>
      <c r="O69" s="10">
        <f t="shared" si="6"/>
        <v>0</v>
      </c>
      <c r="P69" s="10">
        <f t="shared" si="6"/>
        <v>0</v>
      </c>
      <c r="Q69" s="10">
        <f t="shared" si="6"/>
        <v>0</v>
      </c>
    </row>
    <row r="70" spans="3:18">
      <c r="C70" s="9" t="s">
        <v>63</v>
      </c>
      <c r="F70" s="10">
        <f t="shared" ref="F70:Q70" si="7">F58-F59</f>
        <v>6.1487603332466279E-5</v>
      </c>
      <c r="G70" s="10">
        <f t="shared" si="7"/>
        <v>0</v>
      </c>
      <c r="H70" s="10">
        <f t="shared" si="7"/>
        <v>0</v>
      </c>
      <c r="I70" s="10">
        <f t="shared" si="7"/>
        <v>0</v>
      </c>
      <c r="J70" s="10">
        <f t="shared" si="7"/>
        <v>-1.2297520659387828E-4</v>
      </c>
      <c r="K70" s="10">
        <f t="shared" si="7"/>
        <v>0</v>
      </c>
      <c r="L70" s="10">
        <f t="shared" si="7"/>
        <v>0</v>
      </c>
      <c r="M70" s="10">
        <f t="shared" si="7"/>
        <v>0</v>
      </c>
      <c r="N70" s="10">
        <f t="shared" si="7"/>
        <v>0</v>
      </c>
      <c r="O70" s="10">
        <f t="shared" si="7"/>
        <v>-6.1487603360887988E-5</v>
      </c>
      <c r="P70" s="10">
        <f t="shared" si="7"/>
        <v>1.7851239670108043E-4</v>
      </c>
      <c r="Q70" s="10">
        <f t="shared" si="7"/>
        <v>1.2297520659387828E-4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4 - Rio Grande, Otowi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Wolaver, Brad, OSE</cp:lastModifiedBy>
  <dcterms:created xsi:type="dcterms:W3CDTF">2026-02-26T16:18:17Z</dcterms:created>
  <dcterms:modified xsi:type="dcterms:W3CDTF">2026-02-26T23:58:32Z</dcterms:modified>
</cp:coreProperties>
</file>