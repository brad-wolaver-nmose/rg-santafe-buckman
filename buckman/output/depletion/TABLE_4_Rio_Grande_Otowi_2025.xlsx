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>
        <f>SUM(F20:F29)</f>
        <v/>
      </c>
      <c r="G53" s="4">
        <f>SUM(G20:G29)</f>
        <v/>
      </c>
      <c r="H53" s="4">
        <f>SUM(H20:H29)</f>
        <v/>
      </c>
      <c r="I53" s="4">
        <f>SUM(I20:I29)</f>
        <v/>
      </c>
      <c r="J53" s="4">
        <f>SUM(J20:J29)</f>
        <v/>
      </c>
      <c r="K53" s="4">
        <f>SUM(K20:K29)</f>
        <v/>
      </c>
      <c r="L53" s="4">
        <f>SUM(L20:L29)</f>
        <v/>
      </c>
      <c r="M53" s="4">
        <f>SUM(M20:M29)</f>
        <v/>
      </c>
      <c r="N53" s="4">
        <f>SUM(N20:N29)</f>
        <v/>
      </c>
      <c r="O53" s="4">
        <f>SUM(O20:O29)</f>
        <v/>
      </c>
      <c r="P53" s="4">
        <f>SUM(P20:P29)</f>
        <v/>
      </c>
      <c r="Q53" s="4">
        <f>SUM(Q20:Q29)</f>
        <v/>
      </c>
    </row>
    <row r="54">
      <c r="C54" s="2" t="inlineStr">
        <is>
          <t>Rio Grande below Otowi</t>
        </is>
      </c>
      <c r="F54" s="4">
        <f>SUM(F30:F45)</f>
        <v/>
      </c>
      <c r="G54" s="4">
        <f>SUM(G30:G45)</f>
        <v/>
      </c>
      <c r="H54" s="4">
        <f>SUM(H30:H45)</f>
        <v/>
      </c>
      <c r="I54" s="4">
        <f>SUM(I30:I45)</f>
        <v/>
      </c>
      <c r="J54" s="4">
        <f>SUM(J30:J45)</f>
        <v/>
      </c>
      <c r="K54" s="4">
        <f>SUM(K30:K45)</f>
        <v/>
      </c>
      <c r="L54" s="4">
        <f>SUM(L30:L45)</f>
        <v/>
      </c>
      <c r="M54" s="4">
        <f>SUM(M30:M45)</f>
        <v/>
      </c>
      <c r="N54" s="4">
        <f>SUM(N30:N45)</f>
        <v/>
      </c>
      <c r="O54" s="4">
        <f>SUM(O30:O45)</f>
        <v/>
      </c>
      <c r="P54" s="4">
        <f>SUM(P30:P45)</f>
        <v/>
      </c>
      <c r="Q54" s="4">
        <f>SUM(Q30:Q45)</f>
        <v/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>
        <f>F53*60*60*24*F$52/43560</f>
        <v/>
      </c>
      <c r="G56" s="6">
        <f>G53*60*60*24*G$52/43560</f>
        <v/>
      </c>
      <c r="H56" s="6">
        <f>H53*60*60*24*H$52/43560</f>
        <v/>
      </c>
      <c r="I56" s="6">
        <f>I53*60*60*24*I$52/43560</f>
        <v/>
      </c>
      <c r="J56" s="6">
        <f>J53*60*60*24*J$52/43560</f>
        <v/>
      </c>
      <c r="K56" s="6">
        <f>K53*60*60*24*K$52/43560</f>
        <v/>
      </c>
      <c r="L56" s="6">
        <f>L53*60*60*24*L$52/43560</f>
        <v/>
      </c>
      <c r="M56" s="6">
        <f>M53*60*60*24*M$52/43560</f>
        <v/>
      </c>
      <c r="N56" s="6">
        <f>N53*60*60*24*N$52/43560</f>
        <v/>
      </c>
      <c r="O56" s="6">
        <f>O53*60*60*24*O$52/43560</f>
        <v/>
      </c>
      <c r="P56" s="6">
        <f>P53*60*60*24*P$52/43560</f>
        <v/>
      </c>
      <c r="Q56" s="6">
        <f>Q53*60*60*24*Q$52/43560</f>
        <v/>
      </c>
      <c r="R56" s="7">
        <f>SUM(F56:Q56)</f>
        <v/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>
        <f>F54*60*60*24*F$52/43560</f>
        <v/>
      </c>
      <c r="G57" s="6">
        <f>G54*60*60*24*G$52/43560</f>
        <v/>
      </c>
      <c r="H57" s="6">
        <f>H54*60*60*24*H$52/43560</f>
        <v/>
      </c>
      <c r="I57" s="6">
        <f>I54*60*60*24*I$52/43560</f>
        <v/>
      </c>
      <c r="J57" s="6">
        <f>J54*60*60*24*J$52/43560</f>
        <v/>
      </c>
      <c r="K57" s="6">
        <f>K54*60*60*24*K$52/43560</f>
        <v/>
      </c>
      <c r="L57" s="6">
        <f>L54*60*60*24*L$52/43560</f>
        <v/>
      </c>
      <c r="M57" s="6">
        <f>M54*60*60*24*M$52/43560</f>
        <v/>
      </c>
      <c r="N57" s="6">
        <f>N54*60*60*24*N$52/43560</f>
        <v/>
      </c>
      <c r="O57" s="6">
        <f>O54*60*60*24*O$52/43560</f>
        <v/>
      </c>
      <c r="P57" s="6">
        <f>P54*60*60*24*P$52/43560</f>
        <v/>
      </c>
      <c r="Q57" s="6">
        <f>Q54*60*60*24*Q$52/43560</f>
        <v/>
      </c>
      <c r="R57" s="7">
        <f>SUM(F57:Q57)</f>
        <v/>
      </c>
    </row>
    <row r="58">
      <c r="C58" s="2" t="inlineStr">
        <is>
          <t>Total RG (sum)</t>
        </is>
      </c>
      <c r="F58" s="6">
        <f>SUM(F56:F57)</f>
        <v/>
      </c>
      <c r="G58" s="6">
        <f>SUM(G56:G57)</f>
        <v/>
      </c>
      <c r="H58" s="6">
        <f>SUM(H56:H57)</f>
        <v/>
      </c>
      <c r="I58" s="6">
        <f>SUM(I56:I57)</f>
        <v/>
      </c>
      <c r="J58" s="6">
        <f>SUM(J56:J57)</f>
        <v/>
      </c>
      <c r="K58" s="6">
        <f>SUM(K56:K57)</f>
        <v/>
      </c>
      <c r="L58" s="6">
        <f>SUM(L56:L57)</f>
        <v/>
      </c>
      <c r="M58" s="6">
        <f>SUM(M56:M57)</f>
        <v/>
      </c>
      <c r="N58" s="6">
        <f>SUM(N56:N57)</f>
        <v/>
      </c>
      <c r="O58" s="6">
        <f>SUM(O56:O57)</f>
        <v/>
      </c>
      <c r="P58" s="6">
        <f>SUM(P56:P57)</f>
        <v/>
      </c>
      <c r="Q58" s="6">
        <f>SUM(Q56:Q57)</f>
        <v/>
      </c>
      <c r="R58" s="2" t="inlineStr">
        <is>
          <t>check</t>
        </is>
      </c>
    </row>
    <row r="59">
      <c r="C59" s="2" t="inlineStr">
        <is>
          <t>Total RG reported</t>
        </is>
      </c>
      <c r="F59" s="6">
        <f>F46*60*60*24*F$52/43560</f>
        <v/>
      </c>
      <c r="G59" s="6">
        <f>G46*60*60*24*G$52/43560</f>
        <v/>
      </c>
      <c r="H59" s="6">
        <f>H46*60*60*24*H$52/43560</f>
        <v/>
      </c>
      <c r="I59" s="6">
        <f>I46*60*60*24*I$52/43560</f>
        <v/>
      </c>
      <c r="J59" s="6">
        <f>J46*60*60*24*J$52/43560</f>
        <v/>
      </c>
      <c r="K59" s="6">
        <f>K46*60*60*24*K$52/43560</f>
        <v/>
      </c>
      <c r="L59" s="6">
        <f>L46*60*60*24*L$52/43560</f>
        <v/>
      </c>
      <c r="M59" s="6">
        <f>M46*60*60*24*M$52/43560</f>
        <v/>
      </c>
      <c r="N59" s="6">
        <f>N46*60*60*24*N$52/43560</f>
        <v/>
      </c>
      <c r="O59" s="6">
        <f>O46*60*60*24*O$52/43560</f>
        <v/>
      </c>
      <c r="P59" s="6">
        <f>P46*60*60*24*P$52/43560</f>
        <v/>
      </c>
      <c r="Q59" s="6">
        <f>Q46*60*60*24*Q$52/43560</f>
        <v/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>
        <f>F32*60*60*24*F$52/43560</f>
        <v/>
      </c>
      <c r="G60" s="6">
        <f>G32*60*60*24*G$52/43560</f>
        <v/>
      </c>
      <c r="H60" s="6">
        <f>H32*60*60*24*H$52/43560</f>
        <v/>
      </c>
      <c r="I60" s="6">
        <f>I32*60*60*24*I$52/43560</f>
        <v/>
      </c>
      <c r="J60" s="6">
        <f>J32*60*60*24*J$52/43560</f>
        <v/>
      </c>
      <c r="K60" s="6">
        <f>K32*60*60*24*K$52/43560</f>
        <v/>
      </c>
      <c r="L60" s="6">
        <f>L32*60*60*24*L$52/43560</f>
        <v/>
      </c>
      <c r="M60" s="6">
        <f>M32*60*60*24*M$52/43560</f>
        <v/>
      </c>
      <c r="N60" s="6">
        <f>N32*60*60*24*N$52/43560</f>
        <v/>
      </c>
      <c r="O60" s="6">
        <f>O32*60*60*24*O$52/43560</f>
        <v/>
      </c>
      <c r="P60" s="6">
        <f>P32*60*60*24*P$52/43560</f>
        <v/>
      </c>
      <c r="Q60" s="6">
        <f>Q32*60*60*24*Q$52/43560</f>
        <v/>
      </c>
      <c r="R60" s="7">
        <f>SUM(F60:Q60)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2026-02-18T18:37:46Z</dcterms:created>
  <dcterms:modified xmlns:dcterms="http://purl.org/dc/terms/" xmlns:xsi="http://www.w3.org/2001/XMLSchema-instance" xsi:type="dcterms:W3CDTF">2026-02-18T18:37:46Z</dcterms:modified>
</cp:coreProperties>
</file>