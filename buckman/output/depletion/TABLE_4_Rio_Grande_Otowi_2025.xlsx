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 - Rio Grande, Otow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  <font>
      <name val="Aptos"/>
      <color theme="1"/>
      <sz val="11"/>
    </font>
    <font>
      <name val="Calibri"/>
      <b val="1"/>
      <color rgb="00808080"/>
      <sz val="9"/>
    </font>
    <font>
      <name val="Calibri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theme="0"/>
      </patternFill>
    </fill>
  </fills>
  <borders count="3">
    <border>
      <left/>
      <right/>
      <top/>
      <bottom/>
      <diagonal/>
    </border>
    <border>
      <top style="medium"/>
      <bottom style="medium"/>
    </border>
    <border>
      <bottom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applyAlignment="1" pivotButton="0" quotePrefix="0" xfId="0">
      <alignment horizontal="center"/>
    </xf>
    <xf numFmtId="164" fontId="2" fillId="0" borderId="0" pivotButton="0" quotePrefix="0" xfId="0"/>
    <xf numFmtId="0" fontId="1" fillId="2" borderId="1" applyAlignment="1" pivotButton="0" quotePrefix="0" xfId="0">
      <alignment horizontal="right"/>
    </xf>
    <xf numFmtId="0" fontId="2" fillId="2" borderId="0" pivotButton="0" quotePrefix="0" xfId="0"/>
    <xf numFmtId="2" fontId="2" fillId="2" borderId="0" pivotButton="0" quotePrefix="0" xfId="0"/>
    <xf numFmtId="2" fontId="3" fillId="2" borderId="0" pivotButton="0" quotePrefix="0" xfId="0"/>
    <xf numFmtId="0" fontId="2" fillId="2" borderId="2" pivotButton="0" quotePrefix="0" xfId="0"/>
    <xf numFmtId="2" fontId="2" fillId="2" borderId="2" pivotButton="0" quotePrefix="0" xfId="0"/>
    <xf numFmtId="2" fontId="3" fillId="2" borderId="2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wrapText="1"/>
    </xf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</cols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LAY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JAN</t>
        </is>
      </c>
      <c r="G1" s="1" t="inlineStr">
        <is>
          <t>FEB</t>
        </is>
      </c>
      <c r="H1" s="1" t="inlineStr">
        <is>
          <t>MAR</t>
        </is>
      </c>
      <c r="I1" s="1" t="inlineStr">
        <is>
          <t>APR</t>
        </is>
      </c>
      <c r="J1" s="1" t="inlineStr">
        <is>
          <t>MAY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AUG</t>
        </is>
      </c>
      <c r="N1" s="1" t="inlineStr">
        <is>
          <t>SEP</t>
        </is>
      </c>
      <c r="O1" s="1" t="inlineStr">
        <is>
          <t>OCT</t>
        </is>
      </c>
      <c r="P1" s="1" t="inlineStr">
        <is>
          <t>NOV</t>
        </is>
      </c>
      <c r="Q1" s="1" t="inlineStr">
        <is>
          <t>DEC</t>
        </is>
      </c>
      <c r="R1" s="1" t="inlineStr">
        <is>
          <t>Otowi</t>
        </is>
      </c>
    </row>
    <row r="2">
      <c r="A2" s="2" t="n">
        <v>2089</v>
      </c>
      <c r="B2" s="2" t="n">
        <v>2025</v>
      </c>
      <c r="C2" s="2" t="n">
        <v>1</v>
      </c>
      <c r="D2" s="2" t="n">
        <v>9</v>
      </c>
      <c r="E2" s="2" t="n">
        <v>14</v>
      </c>
      <c r="F2" s="3" t="n">
        <v>0.025746</v>
      </c>
      <c r="G2" s="3" t="n">
        <v>0.025761</v>
      </c>
      <c r="H2" s="3" t="n">
        <v>0.025774</v>
      </c>
      <c r="I2" s="3" t="n">
        <v>0.025784</v>
      </c>
      <c r="J2" s="3" t="n">
        <v>0.025794</v>
      </c>
      <c r="K2" s="3" t="n">
        <v>0.025801</v>
      </c>
      <c r="L2" s="3" t="n">
        <v>0.025805</v>
      </c>
      <c r="M2" s="3" t="n">
        <v>0.025809</v>
      </c>
      <c r="N2" s="3" t="n">
        <v>0.025818</v>
      </c>
      <c r="O2" s="3" t="n">
        <v>0.025832</v>
      </c>
      <c r="P2" s="3" t="n">
        <v>0.025848</v>
      </c>
      <c r="Q2" s="3" t="n">
        <v>0.025863</v>
      </c>
    </row>
    <row r="3">
      <c r="A3" s="2" t="n">
        <v>2090</v>
      </c>
      <c r="B3" s="2" t="n">
        <v>2025</v>
      </c>
      <c r="C3" s="2" t="n">
        <v>1</v>
      </c>
      <c r="D3" s="2" t="n">
        <v>9</v>
      </c>
      <c r="E3" s="2" t="n">
        <v>15</v>
      </c>
      <c r="F3" s="3" t="n">
        <v>0.024453</v>
      </c>
      <c r="G3" s="3" t="n">
        <v>0.024472</v>
      </c>
      <c r="H3" s="3" t="n">
        <v>0.024491</v>
      </c>
      <c r="I3" s="3" t="n">
        <v>0.024509</v>
      </c>
      <c r="J3" s="3" t="n">
        <v>0.024525</v>
      </c>
      <c r="K3" s="3" t="n">
        <v>0.02454</v>
      </c>
      <c r="L3" s="3" t="n">
        <v>0.024554</v>
      </c>
      <c r="M3" s="3" t="n">
        <v>0.024567</v>
      </c>
      <c r="N3" s="3" t="n">
        <v>0.024581</v>
      </c>
      <c r="O3" s="3" t="n">
        <v>0.024599</v>
      </c>
      <c r="P3" s="3" t="n">
        <v>0.024617</v>
      </c>
      <c r="Q3" s="3" t="n">
        <v>0.024636</v>
      </c>
    </row>
    <row r="4">
      <c r="A4" s="2" t="n">
        <v>2091</v>
      </c>
      <c r="B4" s="2" t="n">
        <v>2025</v>
      </c>
      <c r="C4" s="2" t="n">
        <v>1</v>
      </c>
      <c r="D4" s="2" t="n">
        <v>9</v>
      </c>
      <c r="E4" s="2" t="n">
        <v>16</v>
      </c>
      <c r="F4" s="3" t="n">
        <v>0.0135</v>
      </c>
      <c r="G4" s="3" t="n">
        <v>0.013519</v>
      </c>
      <c r="H4" s="3" t="n">
        <v>0.013539</v>
      </c>
      <c r="I4" s="3" t="n">
        <v>0.013558</v>
      </c>
      <c r="J4" s="3" t="n">
        <v>0.013578</v>
      </c>
      <c r="K4" s="3" t="n">
        <v>0.013595</v>
      </c>
      <c r="L4" s="3" t="n">
        <v>0.013613</v>
      </c>
      <c r="M4" s="3" t="n">
        <v>0.01363</v>
      </c>
      <c r="N4" s="3" t="n">
        <v>0.013646</v>
      </c>
      <c r="O4" s="3" t="n">
        <v>0.013665</v>
      </c>
      <c r="P4" s="3" t="n">
        <v>0.013684</v>
      </c>
      <c r="Q4" s="3" t="n">
        <v>0.013704</v>
      </c>
    </row>
    <row r="5">
      <c r="A5" s="2" t="n">
        <v>2092</v>
      </c>
      <c r="B5" s="2" t="n">
        <v>2025</v>
      </c>
      <c r="C5" s="2" t="n">
        <v>1</v>
      </c>
      <c r="D5" s="2" t="n">
        <v>9</v>
      </c>
      <c r="E5" s="2" t="n">
        <v>17</v>
      </c>
      <c r="F5" s="3" t="n">
        <v>0.007874000000000001</v>
      </c>
      <c r="G5" s="3" t="n">
        <v>0.007887999999999999</v>
      </c>
      <c r="H5" s="3" t="n">
        <v>0.007904</v>
      </c>
      <c r="I5" s="3" t="n">
        <v>0.00792</v>
      </c>
      <c r="J5" s="3" t="n">
        <v>0.007936</v>
      </c>
      <c r="K5" s="3" t="n">
        <v>0.00795</v>
      </c>
      <c r="L5" s="3" t="n">
        <v>0.007965</v>
      </c>
      <c r="M5" s="3" t="n">
        <v>0.007979999999999999</v>
      </c>
      <c r="N5" s="3" t="n">
        <v>0.007993999999999999</v>
      </c>
      <c r="O5" s="3" t="n">
        <v>0.008009</v>
      </c>
      <c r="P5" s="3" t="n">
        <v>0.008024</v>
      </c>
      <c r="Q5" s="3" t="n">
        <v>0.00804</v>
      </c>
    </row>
    <row r="6">
      <c r="A6" s="2" t="n">
        <v>2093</v>
      </c>
      <c r="B6" s="2" t="n">
        <v>2025</v>
      </c>
      <c r="C6" s="2" t="n">
        <v>1</v>
      </c>
      <c r="D6" s="2" t="n">
        <v>9</v>
      </c>
      <c r="E6" s="2" t="n">
        <v>18</v>
      </c>
      <c r="F6" s="3" t="n">
        <v>0.004383</v>
      </c>
      <c r="G6" s="3" t="n">
        <v>0.004391</v>
      </c>
      <c r="H6" s="3" t="n">
        <v>0.0044</v>
      </c>
      <c r="I6" s="3" t="n">
        <v>0.004409</v>
      </c>
      <c r="J6" s="3" t="n">
        <v>0.004418</v>
      </c>
      <c r="K6" s="3" t="n">
        <v>0.004427</v>
      </c>
      <c r="L6" s="3" t="n">
        <v>0.004436</v>
      </c>
      <c r="M6" s="3" t="n">
        <v>0.004444</v>
      </c>
      <c r="N6" s="3" t="n">
        <v>0.004453</v>
      </c>
      <c r="O6" s="3" t="n">
        <v>0.004462</v>
      </c>
      <c r="P6" s="3" t="n">
        <v>0.004471</v>
      </c>
      <c r="Q6" s="3" t="n">
        <v>0.00448</v>
      </c>
    </row>
    <row r="7">
      <c r="A7" s="2" t="n">
        <v>2094</v>
      </c>
      <c r="B7" s="2" t="n">
        <v>2025</v>
      </c>
      <c r="C7" s="2" t="n">
        <v>1</v>
      </c>
      <c r="D7" s="2" t="n">
        <v>9</v>
      </c>
      <c r="E7" s="2" t="n">
        <v>19</v>
      </c>
      <c r="F7" s="3" t="n">
        <v>0.001773</v>
      </c>
      <c r="G7" s="3" t="n">
        <v>0.001776</v>
      </c>
      <c r="H7" s="3" t="n">
        <v>0.001779</v>
      </c>
      <c r="I7" s="3" t="n">
        <v>0.001782</v>
      </c>
      <c r="J7" s="3" t="n">
        <v>0.001785</v>
      </c>
      <c r="K7" s="3" t="n">
        <v>0.001788</v>
      </c>
      <c r="L7" s="3" t="n">
        <v>0.001791</v>
      </c>
      <c r="M7" s="3" t="n">
        <v>0.001794</v>
      </c>
      <c r="N7" s="3" t="n">
        <v>0.001797</v>
      </c>
      <c r="O7" s="3" t="n">
        <v>0.0018</v>
      </c>
      <c r="P7" s="3" t="n">
        <v>0.001803</v>
      </c>
      <c r="Q7" s="3" t="n">
        <v>0.001806</v>
      </c>
    </row>
    <row r="8">
      <c r="A8" s="2" t="n">
        <v>2095</v>
      </c>
      <c r="B8" s="2" t="n">
        <v>2025</v>
      </c>
      <c r="C8" s="2" t="n">
        <v>1</v>
      </c>
      <c r="D8" s="2" t="n">
        <v>9</v>
      </c>
      <c r="E8" s="2" t="n">
        <v>20</v>
      </c>
      <c r="F8" s="3" t="n">
        <v>0.001486</v>
      </c>
      <c r="G8" s="3" t="n">
        <v>0.001487</v>
      </c>
      <c r="H8" s="3" t="n">
        <v>0.001489</v>
      </c>
      <c r="I8" s="3" t="n">
        <v>0.001491</v>
      </c>
      <c r="J8" s="3" t="n">
        <v>0.001493</v>
      </c>
      <c r="K8" s="3" t="n">
        <v>0.001495</v>
      </c>
      <c r="L8" s="3" t="n">
        <v>0.001497</v>
      </c>
      <c r="M8" s="3" t="n">
        <v>0.001499</v>
      </c>
      <c r="N8" s="3" t="n">
        <v>0.0015</v>
      </c>
      <c r="O8" s="3" t="n">
        <v>0.001502</v>
      </c>
      <c r="P8" s="3" t="n">
        <v>0.001504</v>
      </c>
      <c r="Q8" s="3" t="n">
        <v>0.001506</v>
      </c>
    </row>
    <row r="9">
      <c r="A9" s="2" t="n">
        <v>2096</v>
      </c>
      <c r="B9" s="2" t="n">
        <v>2025</v>
      </c>
      <c r="C9" s="2" t="n">
        <v>1</v>
      </c>
      <c r="D9" s="2" t="n">
        <v>9</v>
      </c>
      <c r="E9" s="2" t="n">
        <v>21</v>
      </c>
      <c r="F9" s="3" t="n">
        <v>0.001282</v>
      </c>
      <c r="G9" s="3" t="n">
        <v>0.001284</v>
      </c>
      <c r="H9" s="3" t="n">
        <v>0.001285</v>
      </c>
      <c r="I9" s="3" t="n">
        <v>0.001286</v>
      </c>
      <c r="J9" s="3" t="n">
        <v>0.001288</v>
      </c>
      <c r="K9" s="3" t="n">
        <v>0.001289</v>
      </c>
      <c r="L9" s="3" t="n">
        <v>0.001291</v>
      </c>
      <c r="M9" s="3" t="n">
        <v>0.001293</v>
      </c>
      <c r="N9" s="3" t="n">
        <v>0.001294</v>
      </c>
      <c r="O9" s="3" t="n">
        <v>0.001296</v>
      </c>
      <c r="P9" s="3" t="n">
        <v>0.001297</v>
      </c>
      <c r="Q9" s="3" t="n">
        <v>0.001299</v>
      </c>
    </row>
    <row r="10">
      <c r="A10" s="2" t="n">
        <v>2097</v>
      </c>
      <c r="B10" s="2" t="n">
        <v>2025</v>
      </c>
      <c r="C10" s="2" t="n">
        <v>1</v>
      </c>
      <c r="D10" s="2" t="n">
        <v>10</v>
      </c>
      <c r="E10" s="2" t="n">
        <v>19</v>
      </c>
      <c r="F10" s="3" t="n">
        <v>0.004013</v>
      </c>
      <c r="G10" s="3" t="n">
        <v>0.004021</v>
      </c>
      <c r="H10" s="3" t="n">
        <v>0.004029</v>
      </c>
      <c r="I10" s="3" t="n">
        <v>0.004038</v>
      </c>
      <c r="J10" s="3" t="n">
        <v>0.004047</v>
      </c>
      <c r="K10" s="3" t="n">
        <v>0.004055</v>
      </c>
      <c r="L10" s="3" t="n">
        <v>0.004064</v>
      </c>
      <c r="M10" s="3" t="n">
        <v>0.004072</v>
      </c>
      <c r="N10" s="3" t="n">
        <v>0.004081</v>
      </c>
      <c r="O10" s="3" t="n">
        <v>0.004089</v>
      </c>
      <c r="P10" s="3" t="n">
        <v>0.004098</v>
      </c>
      <c r="Q10" s="3" t="n">
        <v>0.004107</v>
      </c>
    </row>
    <row r="11">
      <c r="A11" s="2" t="n">
        <v>2098</v>
      </c>
      <c r="B11" s="2" t="n">
        <v>2025</v>
      </c>
      <c r="C11" s="2" t="n">
        <v>1</v>
      </c>
      <c r="D11" s="2" t="n">
        <v>10</v>
      </c>
      <c r="E11" s="2" t="n">
        <v>22</v>
      </c>
      <c r="F11" s="3" t="n">
        <v>0.001357</v>
      </c>
      <c r="G11" s="3" t="n">
        <v>0.001359</v>
      </c>
      <c r="H11" s="3" t="n">
        <v>0.00136</v>
      </c>
      <c r="I11" s="3" t="n">
        <v>0.001361</v>
      </c>
      <c r="J11" s="3" t="n">
        <v>0.001363</v>
      </c>
      <c r="K11" s="3" t="n">
        <v>0.001365</v>
      </c>
      <c r="L11" s="3" t="n">
        <v>0.001366</v>
      </c>
      <c r="M11" s="3" t="n">
        <v>0.001368</v>
      </c>
      <c r="N11" s="3" t="n">
        <v>0.001369</v>
      </c>
      <c r="O11" s="3" t="n">
        <v>0.001371</v>
      </c>
      <c r="P11" s="3" t="n">
        <v>0.001373</v>
      </c>
      <c r="Q11" s="3" t="n">
        <v>0.001374</v>
      </c>
    </row>
    <row r="12">
      <c r="A12" s="2" t="n">
        <v>2099</v>
      </c>
      <c r="B12" s="2" t="n">
        <v>2025</v>
      </c>
      <c r="C12" s="2" t="n">
        <v>1</v>
      </c>
      <c r="D12" s="2" t="n">
        <v>11</v>
      </c>
      <c r="E12" s="2" t="n">
        <v>19</v>
      </c>
      <c r="F12" s="3" t="n">
        <v>0.007851</v>
      </c>
      <c r="G12" s="3" t="n">
        <v>0.007868</v>
      </c>
      <c r="H12" s="3" t="n">
        <v>0.007887</v>
      </c>
      <c r="I12" s="3" t="n">
        <v>0.007906</v>
      </c>
      <c r="J12" s="3" t="n">
        <v>0.007925</v>
      </c>
      <c r="K12" s="3" t="n">
        <v>0.007944</v>
      </c>
      <c r="L12" s="3" t="n">
        <v>0.007963</v>
      </c>
      <c r="M12" s="3" t="n">
        <v>0.007981</v>
      </c>
      <c r="N12" s="3" t="n">
        <v>0.007998999999999999</v>
      </c>
      <c r="O12" s="3" t="n">
        <v>0.008018000000000001</v>
      </c>
      <c r="P12" s="3" t="n">
        <v>0.008037000000000001</v>
      </c>
      <c r="Q12" s="3" t="n">
        <v>0.008057</v>
      </c>
    </row>
    <row r="13">
      <c r="A13" s="2" t="n">
        <v>2100</v>
      </c>
      <c r="B13" s="2" t="n">
        <v>2025</v>
      </c>
      <c r="C13" s="2" t="n">
        <v>1</v>
      </c>
      <c r="D13" s="2" t="n">
        <v>11</v>
      </c>
      <c r="E13" s="2" t="n">
        <v>23</v>
      </c>
      <c r="F13" s="3" t="n">
        <v>0.0009790000000000001</v>
      </c>
      <c r="G13" s="3" t="n">
        <v>0.00098</v>
      </c>
      <c r="H13" s="3" t="n">
        <v>0.000982</v>
      </c>
      <c r="I13" s="3" t="n">
        <v>0.0009829999999999999</v>
      </c>
      <c r="J13" s="3" t="n">
        <v>0.000985</v>
      </c>
      <c r="K13" s="3" t="n">
        <v>0.0009859999999999999</v>
      </c>
      <c r="L13" s="3" t="n">
        <v>0.000987</v>
      </c>
      <c r="M13" s="3" t="n">
        <v>0.0009890000000000001</v>
      </c>
      <c r="N13" s="3" t="n">
        <v>0.00099</v>
      </c>
      <c r="O13" s="3" t="n">
        <v>0.000992</v>
      </c>
      <c r="P13" s="3" t="n">
        <v>0.000993</v>
      </c>
      <c r="Q13" s="3" t="n">
        <v>0.000995</v>
      </c>
    </row>
    <row r="14">
      <c r="A14" s="2" t="n">
        <v>2101</v>
      </c>
      <c r="B14" s="2" t="n">
        <v>2025</v>
      </c>
      <c r="C14" s="2" t="n">
        <v>1</v>
      </c>
      <c r="D14" s="2" t="n">
        <v>12</v>
      </c>
      <c r="E14" s="2" t="n">
        <v>20</v>
      </c>
      <c r="F14" s="3" t="n">
        <v>0.00571</v>
      </c>
      <c r="G14" s="3" t="n">
        <v>0.005722</v>
      </c>
      <c r="H14" s="3" t="n">
        <v>0.005735</v>
      </c>
      <c r="I14" s="3" t="n">
        <v>0.005748</v>
      </c>
      <c r="J14" s="3" t="n">
        <v>0.005762</v>
      </c>
      <c r="K14" s="3" t="n">
        <v>0.005775</v>
      </c>
      <c r="L14" s="3" t="n">
        <v>0.005788</v>
      </c>
      <c r="M14" s="3" t="n">
        <v>0.005801</v>
      </c>
      <c r="N14" s="3" t="n">
        <v>0.005814</v>
      </c>
      <c r="O14" s="3" t="n">
        <v>0.005827</v>
      </c>
      <c r="P14" s="3" t="n">
        <v>0.00584</v>
      </c>
      <c r="Q14" s="3" t="n">
        <v>0.005854</v>
      </c>
    </row>
    <row r="15">
      <c r="A15" s="2" t="n">
        <v>2102</v>
      </c>
      <c r="B15" s="2" t="n">
        <v>2025</v>
      </c>
      <c r="C15" s="2" t="n">
        <v>1</v>
      </c>
      <c r="D15" s="2" t="n">
        <v>12</v>
      </c>
      <c r="E15" s="2" t="n">
        <v>23</v>
      </c>
      <c r="F15" s="3" t="n">
        <v>0.001325</v>
      </c>
      <c r="G15" s="3" t="n">
        <v>0.001327</v>
      </c>
      <c r="H15" s="3" t="n">
        <v>0.001329</v>
      </c>
      <c r="I15" s="3" t="n">
        <v>0.001331</v>
      </c>
      <c r="J15" s="3" t="n">
        <v>0.001334</v>
      </c>
      <c r="K15" s="3" t="n">
        <v>0.001336</v>
      </c>
      <c r="L15" s="3" t="n">
        <v>0.001338</v>
      </c>
      <c r="M15" s="3" t="n">
        <v>0.001341</v>
      </c>
      <c r="N15" s="3" t="n">
        <v>0.001343</v>
      </c>
      <c r="O15" s="3" t="n">
        <v>0.001346</v>
      </c>
      <c r="P15" s="3" t="n">
        <v>0.001348</v>
      </c>
      <c r="Q15" s="3" t="n">
        <v>0.00135</v>
      </c>
    </row>
    <row r="16">
      <c r="A16" s="2" t="n">
        <v>2103</v>
      </c>
      <c r="B16" s="2" t="n">
        <v>2025</v>
      </c>
      <c r="C16" s="2" t="n">
        <v>1</v>
      </c>
      <c r="D16" s="2" t="n">
        <v>13</v>
      </c>
      <c r="E16" s="2" t="n">
        <v>20</v>
      </c>
      <c r="F16" s="3" t="n">
        <v>0.0001</v>
      </c>
      <c r="G16" s="3" t="n">
        <v>0.0001</v>
      </c>
      <c r="H16" s="3" t="n">
        <v>0.0001</v>
      </c>
      <c r="I16" s="3" t="n">
        <v>0.0001</v>
      </c>
      <c r="J16" s="3" t="n">
        <v>0.0001</v>
      </c>
      <c r="K16" s="3" t="n">
        <v>0.0001</v>
      </c>
      <c r="L16" s="3" t="n">
        <v>0.0001</v>
      </c>
      <c r="M16" s="3" t="n">
        <v>0.0001</v>
      </c>
      <c r="N16" s="3" t="n">
        <v>0.0001</v>
      </c>
      <c r="O16" s="3" t="n">
        <v>0.0001</v>
      </c>
      <c r="P16" s="3" t="n">
        <v>0.0001</v>
      </c>
      <c r="Q16" s="3" t="n">
        <v>0.0001</v>
      </c>
    </row>
    <row r="17">
      <c r="A17" s="2" t="n">
        <v>2104</v>
      </c>
      <c r="B17" s="2" t="n">
        <v>2025</v>
      </c>
      <c r="C17" s="2" t="n">
        <v>1</v>
      </c>
      <c r="D17" s="2" t="n">
        <v>14</v>
      </c>
      <c r="E17" s="2" t="n">
        <v>21</v>
      </c>
      <c r="F17" s="3" t="n">
        <v>0.00396</v>
      </c>
      <c r="G17" s="3" t="n">
        <v>0.003969</v>
      </c>
      <c r="H17" s="3" t="n">
        <v>0.003978</v>
      </c>
      <c r="I17" s="3" t="n">
        <v>0.003988</v>
      </c>
      <c r="J17" s="3" t="n">
        <v>0.003998</v>
      </c>
      <c r="K17" s="3" t="n">
        <v>0.004007</v>
      </c>
      <c r="L17" s="3" t="n">
        <v>0.004017</v>
      </c>
      <c r="M17" s="3" t="n">
        <v>0.004027</v>
      </c>
      <c r="N17" s="3" t="n">
        <v>0.004036</v>
      </c>
      <c r="O17" s="3" t="n">
        <v>0.004046</v>
      </c>
      <c r="P17" s="3" t="n">
        <v>0.004055</v>
      </c>
      <c r="Q17" s="3" t="n">
        <v>0.004065</v>
      </c>
    </row>
    <row r="18">
      <c r="A18" s="2" t="n">
        <v>2105</v>
      </c>
      <c r="B18" s="2" t="n">
        <v>2025</v>
      </c>
      <c r="C18" s="2" t="n">
        <v>1</v>
      </c>
      <c r="D18" s="2" t="n">
        <v>15</v>
      </c>
      <c r="E18" s="2" t="n">
        <v>21</v>
      </c>
      <c r="F18" s="3" t="n">
        <v>0.004266</v>
      </c>
      <c r="G18" s="3" t="n">
        <v>0.004277</v>
      </c>
      <c r="H18" s="3" t="n">
        <v>0.004289</v>
      </c>
      <c r="I18" s="3" t="n">
        <v>0.004301</v>
      </c>
      <c r="J18" s="3" t="n">
        <v>0.004313</v>
      </c>
      <c r="K18" s="3" t="n">
        <v>0.004324</v>
      </c>
      <c r="L18" s="3" t="n">
        <v>0.004335</v>
      </c>
      <c r="M18" s="3" t="n">
        <v>0.004347</v>
      </c>
      <c r="N18" s="3" t="n">
        <v>0.004358</v>
      </c>
      <c r="O18" s="3" t="n">
        <v>0.004369</v>
      </c>
      <c r="P18" s="3" t="n">
        <v>0.00438</v>
      </c>
      <c r="Q18" s="3" t="n">
        <v>0.004391</v>
      </c>
    </row>
    <row r="19">
      <c r="A19" s="2" t="n">
        <v>2106</v>
      </c>
      <c r="B19" s="2" t="n">
        <v>2025</v>
      </c>
      <c r="C19" s="2" t="n">
        <v>1</v>
      </c>
      <c r="D19" s="2" t="n">
        <v>16</v>
      </c>
      <c r="E19" s="2" t="n">
        <v>22</v>
      </c>
      <c r="F19" s="3" t="n">
        <v>0.003014</v>
      </c>
      <c r="G19" s="3" t="n">
        <v>0.003022</v>
      </c>
      <c r="H19" s="3" t="n">
        <v>0.00303</v>
      </c>
      <c r="I19" s="3" t="n">
        <v>0.003038</v>
      </c>
      <c r="J19" s="3" t="n">
        <v>0.003046</v>
      </c>
      <c r="K19" s="3" t="n">
        <v>0.003054</v>
      </c>
      <c r="L19" s="3" t="n">
        <v>0.003062</v>
      </c>
      <c r="M19" s="3" t="n">
        <v>0.00307</v>
      </c>
      <c r="N19" s="3" t="n">
        <v>0.003077</v>
      </c>
      <c r="O19" s="3" t="n">
        <v>0.003085</v>
      </c>
      <c r="P19" s="3" t="n">
        <v>0.003092</v>
      </c>
      <c r="Q19" s="3" t="n">
        <v>0.0031</v>
      </c>
    </row>
    <row r="20">
      <c r="A20" s="2" t="n">
        <v>2107</v>
      </c>
      <c r="B20" s="2" t="n">
        <v>2025</v>
      </c>
      <c r="C20" s="2" t="n">
        <v>1</v>
      </c>
      <c r="D20" s="2" t="n">
        <v>1</v>
      </c>
      <c r="E20" s="2" t="n">
        <v>16</v>
      </c>
      <c r="F20" s="3" t="n">
        <v>0.000736</v>
      </c>
      <c r="G20" s="3" t="n">
        <v>0.000737</v>
      </c>
      <c r="H20" s="3" t="n">
        <v>0.000738</v>
      </c>
      <c r="I20" s="3" t="n">
        <v>0.000739</v>
      </c>
      <c r="J20" s="3" t="n">
        <v>0.00074</v>
      </c>
      <c r="K20" s="3" t="n">
        <v>0.000742</v>
      </c>
      <c r="L20" s="3" t="n">
        <v>0.000743</v>
      </c>
      <c r="M20" s="3" t="n">
        <v>0.000744</v>
      </c>
      <c r="N20" s="3" t="n">
        <v>0.000745</v>
      </c>
      <c r="O20" s="3" t="n">
        <v>0.000746</v>
      </c>
      <c r="P20" s="3" t="n">
        <v>0.000748</v>
      </c>
      <c r="Q20" s="3" t="n">
        <v>0.000749</v>
      </c>
      <c r="R20" s="2" t="inlineStr">
        <is>
          <t>above</t>
        </is>
      </c>
    </row>
    <row r="21">
      <c r="A21" s="2" t="n">
        <v>2108</v>
      </c>
      <c r="B21" s="2" t="n">
        <v>2025</v>
      </c>
      <c r="C21" s="2" t="n">
        <v>1</v>
      </c>
      <c r="D21" s="2" t="n">
        <v>2</v>
      </c>
      <c r="E21" s="2" t="n">
        <v>16</v>
      </c>
      <c r="F21" s="3" t="n">
        <v>0.00083</v>
      </c>
      <c r="G21" s="3" t="n">
        <v>0.000831</v>
      </c>
      <c r="H21" s="3" t="n">
        <v>0.0008319999999999999</v>
      </c>
      <c r="I21" s="3" t="n">
        <v>0.000834</v>
      </c>
      <c r="J21" s="3" t="n">
        <v>0.000835</v>
      </c>
      <c r="K21" s="3" t="n">
        <v>0.000837</v>
      </c>
      <c r="L21" s="3" t="n">
        <v>0.000838</v>
      </c>
      <c r="M21" s="3" t="n">
        <v>0.000839</v>
      </c>
      <c r="N21" s="3" t="n">
        <v>0.000841</v>
      </c>
      <c r="O21" s="3" t="n">
        <v>0.000842</v>
      </c>
      <c r="P21" s="3" t="n">
        <v>0.000843</v>
      </c>
      <c r="Q21" s="3" t="n">
        <v>0.000845</v>
      </c>
      <c r="R21" s="2" t="inlineStr">
        <is>
          <t>above</t>
        </is>
      </c>
    </row>
    <row r="22">
      <c r="A22" s="2" t="n">
        <v>2109</v>
      </c>
      <c r="B22" s="2" t="n">
        <v>2025</v>
      </c>
      <c r="C22" s="2" t="n">
        <v>1</v>
      </c>
      <c r="D22" s="2" t="n">
        <v>3</v>
      </c>
      <c r="E22" s="2" t="n">
        <v>16</v>
      </c>
      <c r="F22" s="3" t="n">
        <v>0.000993</v>
      </c>
      <c r="G22" s="3" t="n">
        <v>0.0009940000000000001</v>
      </c>
      <c r="H22" s="3" t="n">
        <v>0.0009959999999999999</v>
      </c>
      <c r="I22" s="3" t="n">
        <v>0.0009970000000000001</v>
      </c>
      <c r="J22" s="3" t="n">
        <v>0.0009990000000000001</v>
      </c>
      <c r="K22" s="3" t="n">
        <v>0.001001</v>
      </c>
      <c r="L22" s="3" t="n">
        <v>0.001003</v>
      </c>
      <c r="M22" s="3" t="n">
        <v>0.001004</v>
      </c>
      <c r="N22" s="3" t="n">
        <v>0.001006</v>
      </c>
      <c r="O22" s="3" t="n">
        <v>0.001007</v>
      </c>
      <c r="P22" s="3" t="n">
        <v>0.001009</v>
      </c>
      <c r="Q22" s="3" t="n">
        <v>0.00101</v>
      </c>
      <c r="R22" s="2" t="inlineStr">
        <is>
          <t>above</t>
        </is>
      </c>
    </row>
    <row r="23">
      <c r="A23" s="2" t="n">
        <v>2110</v>
      </c>
      <c r="B23" s="2" t="n">
        <v>2025</v>
      </c>
      <c r="C23" s="2" t="n">
        <v>1</v>
      </c>
      <c r="D23" s="2" t="n">
        <v>4</v>
      </c>
      <c r="E23" s="2" t="n">
        <v>16</v>
      </c>
      <c r="F23" s="3" t="n">
        <v>0.00167</v>
      </c>
      <c r="G23" s="3" t="n">
        <v>0.001673</v>
      </c>
      <c r="H23" s="3" t="n">
        <v>0.001676</v>
      </c>
      <c r="I23" s="3" t="n">
        <v>0.001678</v>
      </c>
      <c r="J23" s="3" t="n">
        <v>0.001681</v>
      </c>
      <c r="K23" s="3" t="n">
        <v>0.001684</v>
      </c>
      <c r="L23" s="3" t="n">
        <v>0.001686</v>
      </c>
      <c r="M23" s="3" t="n">
        <v>0.001689</v>
      </c>
      <c r="N23" s="3" t="n">
        <v>0.001691</v>
      </c>
      <c r="O23" s="3" t="n">
        <v>0.001693</v>
      </c>
      <c r="P23" s="3" t="n">
        <v>0.001695</v>
      </c>
      <c r="Q23" s="3" t="n">
        <v>0.001697</v>
      </c>
      <c r="R23" s="2" t="inlineStr">
        <is>
          <t>above</t>
        </is>
      </c>
    </row>
    <row r="24">
      <c r="A24" s="2" t="n">
        <v>2111</v>
      </c>
      <c r="B24" s="2" t="n">
        <v>2025</v>
      </c>
      <c r="C24" s="2" t="n">
        <v>1</v>
      </c>
      <c r="D24" s="2" t="n">
        <v>5</v>
      </c>
      <c r="E24" s="2" t="n">
        <v>15</v>
      </c>
      <c r="F24" s="3" t="n">
        <v>0.003079</v>
      </c>
      <c r="G24" s="3" t="n">
        <v>0.003085</v>
      </c>
      <c r="H24" s="3" t="n">
        <v>0.003091</v>
      </c>
      <c r="I24" s="3" t="n">
        <v>0.003096</v>
      </c>
      <c r="J24" s="3" t="n">
        <v>0.003101</v>
      </c>
      <c r="K24" s="3" t="n">
        <v>0.003105</v>
      </c>
      <c r="L24" s="3" t="n">
        <v>0.003109</v>
      </c>
      <c r="M24" s="3" t="n">
        <v>0.003112</v>
      </c>
      <c r="N24" s="3" t="n">
        <v>0.003114</v>
      </c>
      <c r="O24" s="3" t="n">
        <v>0.003117</v>
      </c>
      <c r="P24" s="3" t="n">
        <v>0.003121</v>
      </c>
      <c r="Q24" s="3" t="n">
        <v>0.003125</v>
      </c>
      <c r="R24" s="2" t="inlineStr">
        <is>
          <t>above</t>
        </is>
      </c>
    </row>
    <row r="25">
      <c r="A25" s="2" t="n">
        <v>2112</v>
      </c>
      <c r="B25" s="2" t="n">
        <v>2025</v>
      </c>
      <c r="C25" s="2" t="n">
        <v>1</v>
      </c>
      <c r="D25" s="2" t="n">
        <v>6</v>
      </c>
      <c r="E25" s="2" t="n">
        <v>14</v>
      </c>
      <c r="F25" s="3" t="n">
        <v>0.004488</v>
      </c>
      <c r="G25" s="3" t="n">
        <v>0.004501</v>
      </c>
      <c r="H25" s="3" t="n">
        <v>0.004513</v>
      </c>
      <c r="I25" s="3" t="n">
        <v>0.004522</v>
      </c>
      <c r="J25" s="3" t="n">
        <v>0.004529</v>
      </c>
      <c r="K25" s="3" t="n">
        <v>0.004534</v>
      </c>
      <c r="L25" s="3" t="n">
        <v>0.004538</v>
      </c>
      <c r="M25" s="3" t="n">
        <v>0.00454</v>
      </c>
      <c r="N25" s="3" t="n">
        <v>0.004544</v>
      </c>
      <c r="O25" s="3" t="n">
        <v>0.004549</v>
      </c>
      <c r="P25" s="3" t="n">
        <v>0.004557</v>
      </c>
      <c r="Q25" s="3" t="n">
        <v>0.004565</v>
      </c>
      <c r="R25" s="2" t="inlineStr">
        <is>
          <t>above</t>
        </is>
      </c>
    </row>
    <row r="26">
      <c r="A26" s="2" t="n">
        <v>2113</v>
      </c>
      <c r="B26" s="2" t="n">
        <v>2025</v>
      </c>
      <c r="C26" s="2" t="n">
        <v>1</v>
      </c>
      <c r="D26" s="2" t="n">
        <v>7</v>
      </c>
      <c r="E26" s="2" t="n">
        <v>14</v>
      </c>
      <c r="F26" s="3" t="n">
        <v>0.006128</v>
      </c>
      <c r="G26" s="3" t="n">
        <v>0.006145</v>
      </c>
      <c r="H26" s="3" t="n">
        <v>0.00616</v>
      </c>
      <c r="I26" s="3" t="n">
        <v>0.006171</v>
      </c>
      <c r="J26" s="3" t="n">
        <v>0.00618</v>
      </c>
      <c r="K26" s="3" t="n">
        <v>0.006186</v>
      </c>
      <c r="L26" s="3" t="n">
        <v>0.006189</v>
      </c>
      <c r="M26" s="3" t="n">
        <v>0.006191</v>
      </c>
      <c r="N26" s="3" t="n">
        <v>0.006195</v>
      </c>
      <c r="O26" s="3" t="n">
        <v>0.006204</v>
      </c>
      <c r="P26" s="3" t="n">
        <v>0.006215</v>
      </c>
      <c r="Q26" s="3" t="n">
        <v>0.006226</v>
      </c>
      <c r="R26" s="2" t="inlineStr">
        <is>
          <t>above</t>
        </is>
      </c>
    </row>
    <row r="27">
      <c r="A27" s="2" t="n">
        <v>2114</v>
      </c>
      <c r="B27" s="2" t="n">
        <v>2025</v>
      </c>
      <c r="C27" s="2" t="n">
        <v>1</v>
      </c>
      <c r="D27" s="2" t="n">
        <v>8</v>
      </c>
      <c r="E27" s="2" t="n">
        <v>13</v>
      </c>
      <c r="F27" s="3" t="n">
        <v>0.011477</v>
      </c>
      <c r="G27" s="3" t="n">
        <v>0.011504</v>
      </c>
      <c r="H27" s="3" t="n">
        <v>0.01152</v>
      </c>
      <c r="I27" s="3" t="n">
        <v>0.011531</v>
      </c>
      <c r="J27" s="3" t="n">
        <v>0.011537</v>
      </c>
      <c r="K27" s="3" t="n">
        <v>0.011537</v>
      </c>
      <c r="L27" s="3" t="n">
        <v>0.011528</v>
      </c>
      <c r="M27" s="3" t="n">
        <v>0.011526</v>
      </c>
      <c r="N27" s="3" t="n">
        <v>0.011542</v>
      </c>
      <c r="O27" s="3" t="n">
        <v>0.011574</v>
      </c>
      <c r="P27" s="3" t="n">
        <v>0.011608</v>
      </c>
      <c r="Q27" s="3" t="n">
        <v>0.011631</v>
      </c>
      <c r="R27" s="2" t="inlineStr">
        <is>
          <t>above</t>
        </is>
      </c>
    </row>
    <row r="28">
      <c r="A28" s="2" t="n">
        <v>2115</v>
      </c>
      <c r="B28" s="2" t="n">
        <v>2025</v>
      </c>
      <c r="C28" s="2" t="n">
        <v>1</v>
      </c>
      <c r="D28" s="2" t="n">
        <v>9</v>
      </c>
      <c r="E28" s="2" t="n">
        <v>13</v>
      </c>
      <c r="F28" s="3" t="n">
        <v>0.034664</v>
      </c>
      <c r="G28" s="3" t="n">
        <v>0.034671</v>
      </c>
      <c r="H28" s="3" t="n">
        <v>0.03466</v>
      </c>
      <c r="I28" s="3" t="n">
        <v>0.034648</v>
      </c>
      <c r="J28" s="3" t="n">
        <v>0.034631</v>
      </c>
      <c r="K28" s="3" t="n">
        <v>0.0346</v>
      </c>
      <c r="L28" s="3" t="n">
        <v>0.034554</v>
      </c>
      <c r="M28" s="3" t="n">
        <v>0.034538</v>
      </c>
      <c r="N28" s="3" t="n">
        <v>0.034573</v>
      </c>
      <c r="O28" s="3" t="n">
        <v>0.034638</v>
      </c>
      <c r="P28" s="3" t="n">
        <v>0.034691</v>
      </c>
      <c r="Q28" s="3" t="n">
        <v>0.034705</v>
      </c>
      <c r="R28" s="2" t="inlineStr">
        <is>
          <t>above</t>
        </is>
      </c>
    </row>
    <row r="29">
      <c r="A29" s="2" t="n">
        <v>2116</v>
      </c>
      <c r="B29" s="2" t="n">
        <v>2025</v>
      </c>
      <c r="C29" s="2" t="n">
        <v>1</v>
      </c>
      <c r="D29" s="2" t="n">
        <v>10</v>
      </c>
      <c r="E29" s="2" t="n">
        <v>12</v>
      </c>
      <c r="F29" s="3" t="n">
        <v>0.077539</v>
      </c>
      <c r="G29" s="3" t="n">
        <v>0.077413</v>
      </c>
      <c r="H29" s="3" t="n">
        <v>0.077292</v>
      </c>
      <c r="I29" s="3" t="n">
        <v>0.07722999999999999</v>
      </c>
      <c r="J29" s="3" t="n">
        <v>0.077137</v>
      </c>
      <c r="K29" s="3" t="n">
        <v>0.076985</v>
      </c>
      <c r="L29" s="3" t="n">
        <v>0.07679999999999999</v>
      </c>
      <c r="M29" s="3" t="n">
        <v>0.07682600000000001</v>
      </c>
      <c r="N29" s="3" t="n">
        <v>0.077018</v>
      </c>
      <c r="O29" s="3" t="n">
        <v>0.077198</v>
      </c>
      <c r="P29" s="3" t="n">
        <v>0.077234</v>
      </c>
      <c r="Q29" s="3" t="n">
        <v>0.077094</v>
      </c>
      <c r="R29" s="2" t="inlineStr">
        <is>
          <t>above</t>
        </is>
      </c>
    </row>
    <row r="30">
      <c r="A30" s="2" t="n">
        <v>2117</v>
      </c>
      <c r="B30" s="2" t="n">
        <v>2025</v>
      </c>
      <c r="C30" s="2" t="n">
        <v>1</v>
      </c>
      <c r="D30" s="2" t="n">
        <v>11</v>
      </c>
      <c r="E30" s="2" t="n">
        <v>11</v>
      </c>
      <c r="F30" s="3" t="n">
        <v>0.069678</v>
      </c>
      <c r="G30" s="3" t="n">
        <v>0.069228</v>
      </c>
      <c r="H30" s="3" t="n">
        <v>0.06909999999999999</v>
      </c>
      <c r="I30" s="3" t="n">
        <v>0.069206</v>
      </c>
      <c r="J30" s="3" t="n">
        <v>0.06897300000000001</v>
      </c>
      <c r="K30" s="3" t="n">
        <v>0.06854</v>
      </c>
      <c r="L30" s="3" t="n">
        <v>0.06815400000000001</v>
      </c>
      <c r="M30" s="3" t="n">
        <v>0.068872</v>
      </c>
      <c r="N30" s="3" t="n">
        <v>0.06975000000000001</v>
      </c>
      <c r="O30" s="3" t="n">
        <v>0.07006</v>
      </c>
      <c r="P30" s="3" t="n">
        <v>0.069762</v>
      </c>
      <c r="Q30" s="3" t="n">
        <v>0.06902999999999999</v>
      </c>
      <c r="R30" s="2" t="inlineStr">
        <is>
          <t>below</t>
        </is>
      </c>
    </row>
    <row r="31">
      <c r="A31" s="2" t="n">
        <v>2118</v>
      </c>
      <c r="B31" s="2" t="n">
        <v>2025</v>
      </c>
      <c r="C31" s="2" t="n">
        <v>1</v>
      </c>
      <c r="D31" s="2" t="n">
        <v>12</v>
      </c>
      <c r="E31" s="2" t="n">
        <v>11</v>
      </c>
      <c r="F31" s="3" t="n">
        <v>0.099394</v>
      </c>
      <c r="G31" s="3" t="n">
        <v>0.097384</v>
      </c>
      <c r="H31" s="3" t="n">
        <v>0.097819</v>
      </c>
      <c r="I31" s="3" t="n">
        <v>0.098785</v>
      </c>
      <c r="J31" s="3" t="n">
        <v>0.097361</v>
      </c>
      <c r="K31" s="3" t="n">
        <v>0.09551999999999999</v>
      </c>
      <c r="L31" s="3" t="n">
        <v>0.09445099999999999</v>
      </c>
      <c r="M31" s="3" t="n">
        <v>0.099216</v>
      </c>
      <c r="N31" s="3" t="n">
        <v>0.102524</v>
      </c>
      <c r="O31" s="3" t="n">
        <v>0.102191</v>
      </c>
      <c r="P31" s="3" t="n">
        <v>0.099754</v>
      </c>
      <c r="Q31" s="3" t="n">
        <v>0.096336</v>
      </c>
      <c r="R31" s="2" t="inlineStr">
        <is>
          <t>below</t>
        </is>
      </c>
    </row>
    <row r="32">
      <c r="A32" s="2" t="n">
        <v>2119</v>
      </c>
      <c r="B32" s="2" t="n">
        <v>2025</v>
      </c>
      <c r="C32" s="2" t="n">
        <v>1</v>
      </c>
      <c r="D32" s="2" t="n">
        <v>13</v>
      </c>
      <c r="E32" s="2" t="n">
        <v>11</v>
      </c>
      <c r="F32" s="3" t="n">
        <v>0.69804</v>
      </c>
      <c r="G32" s="3" t="n">
        <v>0.574279</v>
      </c>
      <c r="H32" s="3" t="n">
        <v>0.716953</v>
      </c>
      <c r="I32" s="3" t="n">
        <v>0.756381</v>
      </c>
      <c r="J32" s="3" t="n">
        <v>0.6087939999999999</v>
      </c>
      <c r="K32" s="3" t="n">
        <v>0.556348</v>
      </c>
      <c r="L32" s="3" t="n">
        <v>0.574959</v>
      </c>
      <c r="M32" s="3" t="n">
        <v>0.938051</v>
      </c>
      <c r="N32" s="3" t="n">
        <v>0.921159</v>
      </c>
      <c r="O32" s="3" t="n">
        <v>0.742806</v>
      </c>
      <c r="P32" s="3" t="n">
        <v>0.600106</v>
      </c>
      <c r="Q32" s="3" t="n">
        <v>0.490019</v>
      </c>
      <c r="R32" s="2" t="inlineStr">
        <is>
          <t>below</t>
        </is>
      </c>
    </row>
    <row r="33">
      <c r="A33" s="2" t="n">
        <v>2120</v>
      </c>
      <c r="B33" s="2" t="n">
        <v>2025</v>
      </c>
      <c r="C33" s="2" t="n">
        <v>1</v>
      </c>
      <c r="D33" s="2" t="n">
        <v>14</v>
      </c>
      <c r="E33" s="2" t="n">
        <v>10</v>
      </c>
      <c r="F33" s="3" t="n">
        <v>0.135989</v>
      </c>
      <c r="G33" s="3" t="n">
        <v>0.134271</v>
      </c>
      <c r="H33" s="3" t="n">
        <v>0.133974</v>
      </c>
      <c r="I33" s="3" t="n">
        <v>0.134531</v>
      </c>
      <c r="J33" s="3" t="n">
        <v>0.13372</v>
      </c>
      <c r="K33" s="3" t="n">
        <v>0.132374</v>
      </c>
      <c r="L33" s="3" t="n">
        <v>0.13131</v>
      </c>
      <c r="M33" s="3" t="n">
        <v>0.135105</v>
      </c>
      <c r="N33" s="3" t="n">
        <v>0.137957</v>
      </c>
      <c r="O33" s="3" t="n">
        <v>0.138343</v>
      </c>
      <c r="P33" s="3" t="n">
        <v>0.136877</v>
      </c>
      <c r="Q33" s="3" t="n">
        <v>0.134323</v>
      </c>
      <c r="R33" s="2" t="inlineStr">
        <is>
          <t>below</t>
        </is>
      </c>
    </row>
    <row r="34">
      <c r="A34" s="2" t="n">
        <v>2121</v>
      </c>
      <c r="B34" s="2" t="n">
        <v>2025</v>
      </c>
      <c r="C34" s="2" t="n">
        <v>1</v>
      </c>
      <c r="D34" s="2" t="n">
        <v>15</v>
      </c>
      <c r="E34" s="2" t="n">
        <v>9</v>
      </c>
      <c r="F34" s="3" t="n">
        <v>0.025908</v>
      </c>
      <c r="G34" s="3" t="n">
        <v>0.025877</v>
      </c>
      <c r="H34" s="3" t="n">
        <v>0.025858</v>
      </c>
      <c r="I34" s="3" t="n">
        <v>0.0259</v>
      </c>
      <c r="J34" s="3" t="n">
        <v>0.025903</v>
      </c>
      <c r="K34" s="3" t="n">
        <v>0.025834</v>
      </c>
      <c r="L34" s="3" t="n">
        <v>0.025726</v>
      </c>
      <c r="M34" s="3" t="n">
        <v>0.025902</v>
      </c>
      <c r="N34" s="3" t="n">
        <v>0.026246</v>
      </c>
      <c r="O34" s="3" t="n">
        <v>0.026563</v>
      </c>
      <c r="P34" s="3" t="n">
        <v>0.02671</v>
      </c>
      <c r="Q34" s="3" t="n">
        <v>0.026664</v>
      </c>
      <c r="R34" s="2" t="inlineStr">
        <is>
          <t>below</t>
        </is>
      </c>
    </row>
    <row r="35">
      <c r="A35" s="2" t="n">
        <v>2122</v>
      </c>
      <c r="B35" s="2" t="n">
        <v>2025</v>
      </c>
      <c r="C35" s="2" t="n">
        <v>1</v>
      </c>
      <c r="D35" s="2" t="n">
        <v>15</v>
      </c>
      <c r="E35" s="2" t="n">
        <v>10</v>
      </c>
      <c r="F35" s="3" t="n">
        <v>0.106203</v>
      </c>
      <c r="G35" s="3" t="n">
        <v>0.105668</v>
      </c>
      <c r="H35" s="3" t="n">
        <v>0.105323</v>
      </c>
      <c r="I35" s="3" t="n">
        <v>0.105223</v>
      </c>
      <c r="J35" s="3" t="n">
        <v>0.104902</v>
      </c>
      <c r="K35" s="3" t="n">
        <v>0.104387</v>
      </c>
      <c r="L35" s="3" t="n">
        <v>0.103844</v>
      </c>
      <c r="M35" s="3" t="n">
        <v>0.104437</v>
      </c>
      <c r="N35" s="3" t="n">
        <v>0.105285</v>
      </c>
      <c r="O35" s="3" t="n">
        <v>0.105721</v>
      </c>
      <c r="P35" s="3" t="n">
        <v>0.105566</v>
      </c>
      <c r="Q35" s="3" t="n">
        <v>0.104899</v>
      </c>
      <c r="R35" s="2" t="inlineStr">
        <is>
          <t>below</t>
        </is>
      </c>
    </row>
    <row r="36">
      <c r="A36" s="2" t="n">
        <v>2123</v>
      </c>
      <c r="B36" s="2" t="n">
        <v>2025</v>
      </c>
      <c r="C36" s="2" t="n">
        <v>1</v>
      </c>
      <c r="D36" s="2" t="n">
        <v>16</v>
      </c>
      <c r="E36" s="2" t="n">
        <v>9</v>
      </c>
      <c r="F36" s="3" t="n">
        <v>0.04087</v>
      </c>
      <c r="G36" s="3" t="n">
        <v>0.040858</v>
      </c>
      <c r="H36" s="3" t="n">
        <v>0.040822</v>
      </c>
      <c r="I36" s="3" t="n">
        <v>0.040813</v>
      </c>
      <c r="J36" s="3" t="n">
        <v>0.040789</v>
      </c>
      <c r="K36" s="3" t="n">
        <v>0.040725</v>
      </c>
      <c r="L36" s="3" t="n">
        <v>0.040634</v>
      </c>
      <c r="M36" s="3" t="n">
        <v>0.040718</v>
      </c>
      <c r="N36" s="3" t="n">
        <v>0.040957</v>
      </c>
      <c r="O36" s="3" t="n">
        <v>0.041232</v>
      </c>
      <c r="P36" s="3" t="n">
        <v>0.041408</v>
      </c>
      <c r="Q36" s="3" t="n">
        <v>0.041438</v>
      </c>
      <c r="R36" s="2" t="inlineStr">
        <is>
          <t>below</t>
        </is>
      </c>
    </row>
    <row r="37">
      <c r="A37" s="2" t="n">
        <v>2124</v>
      </c>
      <c r="B37" s="2" t="n">
        <v>2025</v>
      </c>
      <c r="C37" s="2" t="n">
        <v>1</v>
      </c>
      <c r="D37" s="2" t="n">
        <v>17</v>
      </c>
      <c r="E37" s="2" t="n">
        <v>8</v>
      </c>
      <c r="F37" s="3" t="n">
        <v>0.022466</v>
      </c>
      <c r="G37" s="3" t="n">
        <v>0.022514</v>
      </c>
      <c r="H37" s="3" t="n">
        <v>0.022541</v>
      </c>
      <c r="I37" s="3" t="n">
        <v>0.022556</v>
      </c>
      <c r="J37" s="3" t="n">
        <v>0.022564</v>
      </c>
      <c r="K37" s="3" t="n">
        <v>0.022562</v>
      </c>
      <c r="L37" s="3" t="n">
        <v>0.022551</v>
      </c>
      <c r="M37" s="3" t="n">
        <v>0.022565</v>
      </c>
      <c r="N37" s="3" t="n">
        <v>0.022621</v>
      </c>
      <c r="O37" s="3" t="n">
        <v>0.022711</v>
      </c>
      <c r="P37" s="3" t="n">
        <v>0.022801</v>
      </c>
      <c r="Q37" s="3" t="n">
        <v>0.022867</v>
      </c>
      <c r="R37" s="2" t="inlineStr">
        <is>
          <t>below</t>
        </is>
      </c>
    </row>
    <row r="38">
      <c r="A38" s="2" t="n">
        <v>2125</v>
      </c>
      <c r="B38" s="2" t="n">
        <v>2025</v>
      </c>
      <c r="C38" s="2" t="n">
        <v>1</v>
      </c>
      <c r="D38" s="2" t="n">
        <v>18</v>
      </c>
      <c r="E38" s="2" t="n">
        <v>6</v>
      </c>
      <c r="F38" s="3" t="n">
        <v>0.004218</v>
      </c>
      <c r="G38" s="3" t="n">
        <v>0.004232</v>
      </c>
      <c r="H38" s="3" t="n">
        <v>0.004246</v>
      </c>
      <c r="I38" s="3" t="n">
        <v>0.004258</v>
      </c>
      <c r="J38" s="3" t="n">
        <v>0.004269</v>
      </c>
      <c r="K38" s="3" t="n">
        <v>0.004278</v>
      </c>
      <c r="L38" s="3" t="n">
        <v>0.004286</v>
      </c>
      <c r="M38" s="3" t="n">
        <v>0.004293</v>
      </c>
      <c r="N38" s="3" t="n">
        <v>0.0043</v>
      </c>
      <c r="O38" s="3" t="n">
        <v>0.004309</v>
      </c>
      <c r="P38" s="3" t="n">
        <v>0.00432</v>
      </c>
      <c r="Q38" s="3" t="n">
        <v>0.004332</v>
      </c>
      <c r="R38" s="2" t="inlineStr">
        <is>
          <t>below</t>
        </is>
      </c>
    </row>
    <row r="39">
      <c r="A39" s="2" t="n">
        <v>2126</v>
      </c>
      <c r="B39" s="2" t="n">
        <v>2025</v>
      </c>
      <c r="C39" s="2" t="n">
        <v>1</v>
      </c>
      <c r="D39" s="2" t="n">
        <v>18</v>
      </c>
      <c r="E39" s="2" t="n">
        <v>7</v>
      </c>
      <c r="F39" s="3" t="n">
        <v>0.010367</v>
      </c>
      <c r="G39" s="3" t="n">
        <v>0.010401</v>
      </c>
      <c r="H39" s="3" t="n">
        <v>0.010431</v>
      </c>
      <c r="I39" s="3" t="n">
        <v>0.010453</v>
      </c>
      <c r="J39" s="3" t="n">
        <v>0.01047</v>
      </c>
      <c r="K39" s="3" t="n">
        <v>0.010482</v>
      </c>
      <c r="L39" s="3" t="n">
        <v>0.01049</v>
      </c>
      <c r="M39" s="3" t="n">
        <v>0.0105</v>
      </c>
      <c r="N39" s="3" t="n">
        <v>0.010516</v>
      </c>
      <c r="O39" s="3" t="n">
        <v>0.010542</v>
      </c>
      <c r="P39" s="3" t="n">
        <v>0.010574</v>
      </c>
      <c r="Q39" s="3" t="n">
        <v>0.010606</v>
      </c>
      <c r="R39" s="2" t="inlineStr">
        <is>
          <t>below</t>
        </is>
      </c>
    </row>
    <row r="40">
      <c r="A40" s="2" t="n">
        <v>2127</v>
      </c>
      <c r="B40" s="2" t="n">
        <v>2025</v>
      </c>
      <c r="C40" s="2" t="n">
        <v>1</v>
      </c>
      <c r="D40" s="2" t="n">
        <v>19</v>
      </c>
      <c r="E40" s="2" t="n">
        <v>6</v>
      </c>
      <c r="F40" s="3" t="n">
        <v>0.005152</v>
      </c>
      <c r="G40" s="3" t="n">
        <v>0.005167</v>
      </c>
      <c r="H40" s="3" t="n">
        <v>0.005183</v>
      </c>
      <c r="I40" s="3" t="n">
        <v>0.005197</v>
      </c>
      <c r="J40" s="3" t="n">
        <v>0.005209</v>
      </c>
      <c r="K40" s="3" t="n">
        <v>0.005219</v>
      </c>
      <c r="L40" s="3" t="n">
        <v>0.005227</v>
      </c>
      <c r="M40" s="3" t="n">
        <v>0.005234</v>
      </c>
      <c r="N40" s="3" t="n">
        <v>0.005242</v>
      </c>
      <c r="O40" s="3" t="n">
        <v>0.005252</v>
      </c>
      <c r="P40" s="3" t="n">
        <v>0.005264</v>
      </c>
      <c r="Q40" s="3" t="n">
        <v>0.005277</v>
      </c>
      <c r="R40" s="2" t="inlineStr">
        <is>
          <t>below</t>
        </is>
      </c>
    </row>
    <row r="41">
      <c r="A41" s="2" t="n">
        <v>2128</v>
      </c>
      <c r="B41" s="2" t="n">
        <v>2025</v>
      </c>
      <c r="C41" s="2" t="n">
        <v>1</v>
      </c>
      <c r="D41" s="2" t="n">
        <v>20</v>
      </c>
      <c r="E41" s="2" t="n">
        <v>5</v>
      </c>
      <c r="F41" s="3" t="n">
        <v>0.00315</v>
      </c>
      <c r="G41" s="3" t="n">
        <v>0.003156</v>
      </c>
      <c r="H41" s="3" t="n">
        <v>0.003163</v>
      </c>
      <c r="I41" s="3" t="n">
        <v>0.003169</v>
      </c>
      <c r="J41" s="3" t="n">
        <v>0.003175</v>
      </c>
      <c r="K41" s="3" t="n">
        <v>0.003181</v>
      </c>
      <c r="L41" s="3" t="n">
        <v>0.003186</v>
      </c>
      <c r="M41" s="3" t="n">
        <v>0.003191</v>
      </c>
      <c r="N41" s="3" t="n">
        <v>0.003195</v>
      </c>
      <c r="O41" s="3" t="n">
        <v>0.0032</v>
      </c>
      <c r="P41" s="3" t="n">
        <v>0.003205</v>
      </c>
      <c r="Q41" s="3" t="n">
        <v>0.00321</v>
      </c>
      <c r="R41" s="2" t="inlineStr">
        <is>
          <t>below</t>
        </is>
      </c>
    </row>
    <row r="42">
      <c r="A42" s="2" t="n">
        <v>2129</v>
      </c>
      <c r="B42" s="2" t="n">
        <v>2025</v>
      </c>
      <c r="C42" s="2" t="n">
        <v>1</v>
      </c>
      <c r="D42" s="2" t="n">
        <v>21</v>
      </c>
      <c r="E42" s="2" t="n">
        <v>4</v>
      </c>
      <c r="F42" s="3" t="n">
        <v>0.001601</v>
      </c>
      <c r="G42" s="3" t="n">
        <v>0.001603</v>
      </c>
      <c r="H42" s="3" t="n">
        <v>0.001606</v>
      </c>
      <c r="I42" s="3" t="n">
        <v>0.001609</v>
      </c>
      <c r="J42" s="3" t="n">
        <v>0.001612</v>
      </c>
      <c r="K42" s="3" t="n">
        <v>0.001615</v>
      </c>
      <c r="L42" s="3" t="n">
        <v>0.001618</v>
      </c>
      <c r="M42" s="3" t="n">
        <v>0.001621</v>
      </c>
      <c r="N42" s="3" t="n">
        <v>0.001624</v>
      </c>
      <c r="O42" s="3" t="n">
        <v>0.001626</v>
      </c>
      <c r="P42" s="3" t="n">
        <v>0.001629</v>
      </c>
      <c r="Q42" s="3" t="n">
        <v>0.001632</v>
      </c>
      <c r="R42" s="2" t="inlineStr">
        <is>
          <t>below</t>
        </is>
      </c>
    </row>
    <row r="43">
      <c r="A43" s="2" t="n">
        <v>2130</v>
      </c>
      <c r="B43" s="2" t="n">
        <v>2025</v>
      </c>
      <c r="C43" s="2" t="n">
        <v>1</v>
      </c>
      <c r="D43" s="2" t="n">
        <v>21</v>
      </c>
      <c r="E43" s="2" t="n">
        <v>5</v>
      </c>
      <c r="F43" s="3" t="n">
        <v>0.002165</v>
      </c>
      <c r="G43" s="3" t="n">
        <v>0.002169</v>
      </c>
      <c r="H43" s="3" t="n">
        <v>0.002173</v>
      </c>
      <c r="I43" s="3" t="n">
        <v>0.002178</v>
      </c>
      <c r="J43" s="3" t="n">
        <v>0.002183</v>
      </c>
      <c r="K43" s="3" t="n">
        <v>0.002188</v>
      </c>
      <c r="L43" s="3" t="n">
        <v>0.002193</v>
      </c>
      <c r="M43" s="3" t="n">
        <v>0.002197</v>
      </c>
      <c r="N43" s="3" t="n">
        <v>0.002201</v>
      </c>
      <c r="O43" s="3" t="n">
        <v>0.002205</v>
      </c>
      <c r="P43" s="3" t="n">
        <v>0.00221</v>
      </c>
      <c r="Q43" s="3" t="n">
        <v>0.002214</v>
      </c>
      <c r="R43" s="2" t="inlineStr">
        <is>
          <t>below</t>
        </is>
      </c>
    </row>
    <row r="44">
      <c r="A44" s="2" t="n">
        <v>2131</v>
      </c>
      <c r="B44" s="2" t="n">
        <v>2025</v>
      </c>
      <c r="C44" s="2" t="n">
        <v>1</v>
      </c>
      <c r="D44" s="2" t="n">
        <v>22</v>
      </c>
      <c r="E44" s="2" t="n">
        <v>4</v>
      </c>
      <c r="F44" s="3" t="n">
        <v>0.001621</v>
      </c>
      <c r="G44" s="3" t="n">
        <v>0.001624</v>
      </c>
      <c r="H44" s="3" t="n">
        <v>0.001627</v>
      </c>
      <c r="I44" s="3" t="n">
        <v>0.00163</v>
      </c>
      <c r="J44" s="3" t="n">
        <v>0.001633</v>
      </c>
      <c r="K44" s="3" t="n">
        <v>0.001637</v>
      </c>
      <c r="L44" s="3" t="n">
        <v>0.00164</v>
      </c>
      <c r="M44" s="3" t="n">
        <v>0.001643</v>
      </c>
      <c r="N44" s="3" t="n">
        <v>0.001646</v>
      </c>
      <c r="O44" s="3" t="n">
        <v>0.00165</v>
      </c>
      <c r="P44" s="3" t="n">
        <v>0.001653</v>
      </c>
      <c r="Q44" s="3" t="n">
        <v>0.001656</v>
      </c>
      <c r="R44" s="2" t="inlineStr">
        <is>
          <t>below</t>
        </is>
      </c>
    </row>
    <row r="45">
      <c r="A45" s="2" t="n">
        <v>2132</v>
      </c>
      <c r="B45" s="2" t="n">
        <v>2025</v>
      </c>
      <c r="C45" s="2" t="n">
        <v>1</v>
      </c>
      <c r="D45" s="2" t="n">
        <v>23</v>
      </c>
      <c r="E45" s="2" t="n">
        <v>3</v>
      </c>
      <c r="F45" s="3" t="n">
        <v>0.00055</v>
      </c>
      <c r="G45" s="3" t="n">
        <v>0.00055</v>
      </c>
      <c r="H45" s="3" t="n">
        <v>0.00055</v>
      </c>
      <c r="I45" s="3" t="n">
        <v>0.00055</v>
      </c>
      <c r="J45" s="3" t="n">
        <v>0.00055</v>
      </c>
      <c r="K45" s="3" t="n">
        <v>0.00055</v>
      </c>
      <c r="L45" s="3" t="n">
        <v>0.00055</v>
      </c>
      <c r="M45" s="3" t="n">
        <v>0.00055</v>
      </c>
      <c r="N45" s="3" t="n">
        <v>0.00055</v>
      </c>
      <c r="O45" s="3" t="n">
        <v>0.00055</v>
      </c>
      <c r="P45" s="3" t="n">
        <v>0.00055</v>
      </c>
      <c r="Q45" s="3" t="n">
        <v>0.00055</v>
      </c>
      <c r="R45" s="2" t="inlineStr">
        <is>
          <t>below</t>
        </is>
      </c>
    </row>
    <row r="46">
      <c r="A46" s="2" t="n">
        <v>2135</v>
      </c>
      <c r="B46" s="2" t="n">
        <v>2025</v>
      </c>
      <c r="C46" s="2" t="inlineStr">
        <is>
          <t>0  RI</t>
        </is>
      </c>
      <c r="D46" s="2" t="inlineStr">
        <is>
          <t>O GRA</t>
        </is>
      </c>
      <c r="E46" s="2" t="inlineStr">
        <is>
          <t>NDE</t>
        </is>
      </c>
      <c r="F46" s="3" t="n">
        <v>1.368975</v>
      </c>
      <c r="G46" s="3" t="n">
        <v>1.240535</v>
      </c>
      <c r="H46" s="3" t="n">
        <v>1.382847</v>
      </c>
      <c r="I46" s="3" t="n">
        <v>1.423885</v>
      </c>
      <c r="J46" s="3" t="n">
        <v>1.273479</v>
      </c>
      <c r="K46" s="3" t="n">
        <v>1.216651</v>
      </c>
      <c r="L46" s="3" t="n">
        <v>1.231807</v>
      </c>
      <c r="M46" s="3" t="n">
        <v>1.605104</v>
      </c>
      <c r="N46" s="3" t="n">
        <v>1.597042</v>
      </c>
      <c r="O46" s="3" t="n">
        <v>1.42053</v>
      </c>
      <c r="P46" s="3" t="n">
        <v>1.274107</v>
      </c>
      <c r="Q46" s="3" t="n">
        <v>1.156698</v>
      </c>
    </row>
    <row r="47">
      <c r="A47" s="2" t="n">
        <v>2133</v>
      </c>
      <c r="B47" s="2" t="n">
        <v>2025</v>
      </c>
      <c r="C47" s="2" t="inlineStr">
        <is>
          <t>0  R</t>
        </is>
      </c>
      <c r="D47" s="2" t="inlineStr">
        <is>
          <t>POJOA</t>
        </is>
      </c>
      <c r="E47" s="2" t="inlineStr">
        <is>
          <t>QUE</t>
        </is>
      </c>
      <c r="F47" s="3" t="n">
        <v>0.084158</v>
      </c>
      <c r="G47" s="3" t="n">
        <v>0.084243</v>
      </c>
      <c r="H47" s="3" t="n">
        <v>0.084332</v>
      </c>
      <c r="I47" s="3" t="n">
        <v>0.084415</v>
      </c>
      <c r="J47" s="3" t="n">
        <v>0.084498</v>
      </c>
      <c r="K47" s="3" t="n">
        <v>0.08457199999999999</v>
      </c>
      <c r="L47" s="3" t="n">
        <v>0.084643</v>
      </c>
      <c r="M47" s="3" t="n">
        <v>0.084713</v>
      </c>
      <c r="N47" s="3" t="n">
        <v>0.084787</v>
      </c>
      <c r="O47" s="3" t="n">
        <v>0.084873</v>
      </c>
      <c r="P47" s="3" t="n">
        <v>0.084962</v>
      </c>
      <c r="Q47" s="3" t="n">
        <v>0.085054</v>
      </c>
    </row>
    <row r="48">
      <c r="A48" s="2" t="n">
        <v>2137</v>
      </c>
      <c r="B48" s="2" t="n">
        <v>2025</v>
      </c>
      <c r="C48" s="2" t="inlineStr">
        <is>
          <t>0  LC</t>
        </is>
      </c>
      <c r="D48" s="2" t="inlineStr">
        <is>
          <t>SPRI</t>
        </is>
      </c>
      <c r="E48" s="2" t="inlineStr">
        <is>
          <t>NGS</t>
        </is>
      </c>
      <c r="F48" s="3" t="n">
        <v>0.005295</v>
      </c>
      <c r="G48" s="3" t="n">
        <v>0.005314</v>
      </c>
      <c r="H48" s="3" t="n">
        <v>0.005336</v>
      </c>
      <c r="I48" s="3" t="n">
        <v>0.005358</v>
      </c>
      <c r="J48" s="3" t="n">
        <v>0.00538</v>
      </c>
      <c r="K48" s="3" t="n">
        <v>0.005402</v>
      </c>
      <c r="L48" s="3" t="n">
        <v>0.005424</v>
      </c>
      <c r="M48" s="3" t="n">
        <v>0.005447</v>
      </c>
      <c r="N48" s="3" t="n">
        <v>0.005468</v>
      </c>
      <c r="O48" s="3" t="n">
        <v>0.005491</v>
      </c>
      <c r="P48" s="3" t="n">
        <v>0.005512</v>
      </c>
      <c r="Q48" s="3" t="n">
        <v>0.005534</v>
      </c>
    </row>
    <row r="49">
      <c r="A49" s="2" t="n">
        <v>2134</v>
      </c>
      <c r="B49" s="2" t="n">
        <v>2025</v>
      </c>
      <c r="C49" s="2" t="inlineStr">
        <is>
          <t>0   R</t>
        </is>
      </c>
      <c r="D49" s="2" t="inlineStr">
        <is>
          <t>TESU</t>
        </is>
      </c>
      <c r="E49" s="2" t="inlineStr">
        <is>
          <t>QUE</t>
        </is>
      </c>
      <c r="F49" s="3" t="n">
        <v>0.028914</v>
      </c>
      <c r="G49" s="3" t="n">
        <v>0.028978</v>
      </c>
      <c r="H49" s="3" t="n">
        <v>0.029049</v>
      </c>
      <c r="I49" s="3" t="n">
        <v>0.029119</v>
      </c>
      <c r="J49" s="3" t="n">
        <v>0.02919</v>
      </c>
      <c r="K49" s="3" t="n">
        <v>0.029259</v>
      </c>
      <c r="L49" s="3" t="n">
        <v>0.029329</v>
      </c>
      <c r="M49" s="3" t="n">
        <v>0.029398</v>
      </c>
      <c r="N49" s="3" t="n">
        <v>0.029465</v>
      </c>
      <c r="O49" s="3" t="n">
        <v>0.029534</v>
      </c>
      <c r="P49" s="3" t="n">
        <v>0.029602</v>
      </c>
      <c r="Q49" s="3" t="n">
        <v>0.029673</v>
      </c>
    </row>
    <row r="50">
      <c r="A50" s="2" t="n">
        <v>2136</v>
      </c>
      <c r="B50" s="2" t="n">
        <v>2025</v>
      </c>
      <c r="C50" s="2" t="inlineStr">
        <is>
          <t>0  RI</t>
        </is>
      </c>
      <c r="D50" s="2" t="inlineStr">
        <is>
          <t>V  TO</t>
        </is>
      </c>
      <c r="E50" s="2" t="inlineStr">
        <is>
          <t>TAL</t>
        </is>
      </c>
      <c r="F50" s="3" t="n">
        <v>1.482048</v>
      </c>
      <c r="G50" s="3" t="n">
        <v>1.353756</v>
      </c>
      <c r="H50" s="3" t="n">
        <v>1.496228</v>
      </c>
      <c r="I50" s="3" t="n">
        <v>1.537419</v>
      </c>
      <c r="J50" s="3" t="n">
        <v>1.387167</v>
      </c>
      <c r="K50" s="3" t="n">
        <v>1.330482</v>
      </c>
      <c r="L50" s="3" t="n">
        <v>1.345779</v>
      </c>
      <c r="M50" s="3" t="n">
        <v>1.719215</v>
      </c>
      <c r="N50" s="3" t="n">
        <v>1.711294</v>
      </c>
      <c r="O50" s="3" t="n">
        <v>1.534937</v>
      </c>
      <c r="P50" s="3" t="n">
        <v>1.388672</v>
      </c>
      <c r="Q50" s="3" t="n">
        <v>1.271425</v>
      </c>
    </row>
    <row r="51">
      <c r="F51" s="2" t="inlineStr">
        <is>
          <t>jan</t>
        </is>
      </c>
      <c r="G51" s="2" t="inlineStr">
        <is>
          <t>feb</t>
        </is>
      </c>
      <c r="H51" s="2" t="inlineStr">
        <is>
          <t>mar</t>
        </is>
      </c>
      <c r="I51" s="2" t="inlineStr">
        <is>
          <t>apr</t>
        </is>
      </c>
      <c r="J51" s="2" t="inlineStr">
        <is>
          <t>may</t>
        </is>
      </c>
      <c r="K51" s="2" t="inlineStr">
        <is>
          <t>jun</t>
        </is>
      </c>
      <c r="L51" s="2" t="inlineStr">
        <is>
          <t>jul</t>
        </is>
      </c>
      <c r="M51" s="2" t="inlineStr">
        <is>
          <t>aug</t>
        </is>
      </c>
      <c r="N51" s="2" t="inlineStr">
        <is>
          <t>sep</t>
        </is>
      </c>
      <c r="O51" s="2" t="inlineStr">
        <is>
          <t>oct</t>
        </is>
      </c>
      <c r="P51" s="2" t="inlineStr">
        <is>
          <t>nov</t>
        </is>
      </c>
      <c r="Q51" s="2" t="inlineStr">
        <is>
          <t>dec</t>
        </is>
      </c>
    </row>
    <row r="52">
      <c r="E52" s="2" t="inlineStr">
        <is>
          <t>cfs</t>
        </is>
      </c>
      <c r="F52" s="2" t="n">
        <v>31</v>
      </c>
      <c r="G52" s="2" t="n">
        <v>28</v>
      </c>
      <c r="H52" s="2" t="n">
        <v>31</v>
      </c>
      <c r="I52" s="2" t="n">
        <v>30</v>
      </c>
      <c r="J52" s="2" t="n">
        <v>31</v>
      </c>
      <c r="K52" s="2" t="n">
        <v>30</v>
      </c>
      <c r="L52" s="2" t="n">
        <v>31</v>
      </c>
      <c r="M52" s="2" t="n">
        <v>31</v>
      </c>
      <c r="N52" s="2" t="n">
        <v>30</v>
      </c>
      <c r="O52" s="2" t="n">
        <v>31</v>
      </c>
      <c r="P52" s="2" t="n">
        <v>30</v>
      </c>
      <c r="Q52" s="2" t="n">
        <v>31</v>
      </c>
    </row>
    <row r="53">
      <c r="C53" s="2" t="inlineStr">
        <is>
          <t>Rio Grande above Otowi</t>
        </is>
      </c>
      <c r="F53" s="4" t="n">
        <v>0.141604</v>
      </c>
      <c r="G53" s="4" t="n">
        <v>0.141554</v>
      </c>
      <c r="H53" s="4" t="n">
        <v>0.141478</v>
      </c>
      <c r="I53" s="4" t="n">
        <v>0.141446</v>
      </c>
      <c r="J53" s="4" t="n">
        <v>0.14137</v>
      </c>
      <c r="K53" s="4" t="n">
        <v>0.141211</v>
      </c>
      <c r="L53" s="4" t="n">
        <v>0.140988</v>
      </c>
      <c r="M53" s="4" t="n">
        <v>0.141009</v>
      </c>
      <c r="N53" s="4" t="n">
        <v>0.141269</v>
      </c>
      <c r="O53" s="4" t="n">
        <v>0.141568</v>
      </c>
      <c r="P53" s="4" t="n">
        <v>0.141721</v>
      </c>
      <c r="Q53" s="4" t="n">
        <v>0.141647</v>
      </c>
    </row>
    <row r="54">
      <c r="C54" s="2" t="inlineStr">
        <is>
          <t>Rio Grande below Otowi</t>
        </is>
      </c>
      <c r="F54" s="4" t="n">
        <v>1.227372</v>
      </c>
      <c r="G54" s="4" t="n">
        <v>1.098981</v>
      </c>
      <c r="H54" s="4" t="n">
        <v>1.241369</v>
      </c>
      <c r="I54" s="4" t="n">
        <v>1.282439</v>
      </c>
      <c r="J54" s="4" t="n">
        <v>1.132107</v>
      </c>
      <c r="K54" s="4" t="n">
        <v>1.07544</v>
      </c>
      <c r="L54" s="4" t="n">
        <v>1.090819</v>
      </c>
      <c r="M54" s="4" t="n">
        <v>1.464095</v>
      </c>
      <c r="N54" s="4" t="n">
        <v>1.455773</v>
      </c>
      <c r="O54" s="4" t="n">
        <v>1.278961</v>
      </c>
      <c r="P54" s="4" t="n">
        <v>1.132389</v>
      </c>
      <c r="Q54" s="4" t="n">
        <v>1.015053</v>
      </c>
    </row>
    <row r="55">
      <c r="F55" s="5" t="inlineStr">
        <is>
          <t>JAN</t>
        </is>
      </c>
      <c r="G55" s="5" t="inlineStr">
        <is>
          <t>FEB</t>
        </is>
      </c>
      <c r="H55" s="5" t="inlineStr">
        <is>
          <t>MAR</t>
        </is>
      </c>
      <c r="I55" s="5" t="inlineStr">
        <is>
          <t>APR</t>
        </is>
      </c>
      <c r="J55" s="5" t="inlineStr">
        <is>
          <t>MAY</t>
        </is>
      </c>
      <c r="K55" s="5" t="inlineStr">
        <is>
          <t>JUN</t>
        </is>
      </c>
      <c r="L55" s="5" t="inlineStr">
        <is>
          <t>JUL</t>
        </is>
      </c>
      <c r="M55" s="5" t="inlineStr">
        <is>
          <t>AUG</t>
        </is>
      </c>
      <c r="N55" s="5" t="inlineStr">
        <is>
          <t>SEP</t>
        </is>
      </c>
      <c r="O55" s="5" t="inlineStr">
        <is>
          <t>OCT</t>
        </is>
      </c>
      <c r="P55" s="5" t="inlineStr">
        <is>
          <t>NOV</t>
        </is>
      </c>
      <c r="Q55" s="5" t="inlineStr">
        <is>
          <t>DEC</t>
        </is>
      </c>
      <c r="R55" s="5" t="inlineStr">
        <is>
          <t>Total</t>
        </is>
      </c>
    </row>
    <row r="56">
      <c r="C56" s="2" t="inlineStr">
        <is>
          <t>Rio Grande above Otowi</t>
        </is>
      </c>
      <c r="E56" s="6" t="inlineStr">
        <is>
          <t>Above Otowi</t>
        </is>
      </c>
      <c r="F56" s="7" t="n">
        <v>8.706890578512397</v>
      </c>
      <c r="G56" s="7" t="n">
        <v>7.861511404958678</v>
      </c>
      <c r="H56" s="7" t="n">
        <v>8.699143140495867</v>
      </c>
      <c r="I56" s="7" t="n">
        <v>8.416621487603305</v>
      </c>
      <c r="J56" s="7" t="n">
        <v>8.692502479338843</v>
      </c>
      <c r="K56" s="7" t="n">
        <v>8.402638016528925</v>
      </c>
      <c r="L56" s="7" t="n">
        <v>8.669014214876032</v>
      </c>
      <c r="M56" s="7" t="n">
        <v>8.670305454545455</v>
      </c>
      <c r="N56" s="7" t="n">
        <v>8.406089256198348</v>
      </c>
      <c r="O56" s="7" t="n">
        <v>8.704677024793389</v>
      </c>
      <c r="P56" s="7" t="n">
        <v>8.43298512396694</v>
      </c>
      <c r="Q56" s="7" t="n">
        <v>8.709534545454545</v>
      </c>
      <c r="R56" s="8" t="n">
        <v>102.3719127272727</v>
      </c>
    </row>
    <row r="57">
      <c r="C57" s="2" t="inlineStr">
        <is>
          <t>Rio Grande below Otowi</t>
        </is>
      </c>
      <c r="E57" s="9" t="inlineStr">
        <is>
          <t>Below Otowi</t>
        </is>
      </c>
      <c r="F57" s="10" t="n">
        <v>75.46816264462812</v>
      </c>
      <c r="G57" s="10" t="n">
        <v>61.03431669421489</v>
      </c>
      <c r="H57" s="10" t="n">
        <v>76.32880462809916</v>
      </c>
      <c r="I57" s="10" t="n">
        <v>76.31041983471076</v>
      </c>
      <c r="J57" s="10" t="n">
        <v>69.61054611570249</v>
      </c>
      <c r="K57" s="10" t="n">
        <v>63.99312396694217</v>
      </c>
      <c r="L57" s="10" t="n">
        <v>67.07184595041322</v>
      </c>
      <c r="M57" s="10" t="n">
        <v>90.02369256198349</v>
      </c>
      <c r="N57" s="10" t="n">
        <v>86.62450909090907</v>
      </c>
      <c r="O57" s="10" t="n">
        <v>78.64024661157021</v>
      </c>
      <c r="P57" s="10" t="n">
        <v>67.38182479338843</v>
      </c>
      <c r="Q57" s="10" t="n">
        <v>62.4131761983471</v>
      </c>
      <c r="R57" s="11" t="n">
        <v>874.9006690909091</v>
      </c>
    </row>
    <row r="58">
      <c r="C58" s="2" t="inlineStr">
        <is>
          <t>Total RG (sum)</t>
        </is>
      </c>
      <c r="F58" s="12" t="n">
        <v>84.17505322314052</v>
      </c>
      <c r="G58" s="12" t="n">
        <v>68.89582809917357</v>
      </c>
      <c r="H58" s="12" t="n">
        <v>85.02794776859503</v>
      </c>
      <c r="I58" s="12" t="n">
        <v>84.72704132231407</v>
      </c>
      <c r="J58" s="12" t="n">
        <v>78.30304859504133</v>
      </c>
      <c r="K58" s="12" t="n">
        <v>72.39576198347109</v>
      </c>
      <c r="L58" s="12" t="n">
        <v>75.74086016528925</v>
      </c>
      <c r="M58" s="12" t="n">
        <v>98.69399801652895</v>
      </c>
      <c r="N58" s="12" t="n">
        <v>95.03059834710741</v>
      </c>
      <c r="O58" s="12" t="n">
        <v>87.34492363636359</v>
      </c>
      <c r="P58" s="12" t="n">
        <v>75.81480991735538</v>
      </c>
      <c r="Q58" s="12" t="n">
        <v>71.12271074380165</v>
      </c>
      <c r="R58" s="2" t="inlineStr">
        <is>
          <t>check</t>
        </is>
      </c>
    </row>
    <row r="59">
      <c r="C59" s="2" t="inlineStr">
        <is>
          <t>Total RG reported</t>
        </is>
      </c>
      <c r="F59" s="12" t="n">
        <v>84.17499173553719</v>
      </c>
      <c r="G59" s="12" t="n">
        <v>68.89582809917356</v>
      </c>
      <c r="H59" s="12" t="n">
        <v>85.02794776859504</v>
      </c>
      <c r="I59" s="12" t="n">
        <v>84.72704132231407</v>
      </c>
      <c r="J59" s="12" t="n">
        <v>78.30317157024793</v>
      </c>
      <c r="K59" s="12" t="n">
        <v>72.39576198347108</v>
      </c>
      <c r="L59" s="12" t="n">
        <v>75.74086016528928</v>
      </c>
      <c r="M59" s="12" t="n">
        <v>98.69399801652894</v>
      </c>
      <c r="N59" s="12" t="n">
        <v>95.03059834710744</v>
      </c>
      <c r="O59" s="12" t="n">
        <v>87.34498512396695</v>
      </c>
      <c r="P59" s="12" t="n">
        <v>75.81463140495867</v>
      </c>
      <c r="Q59" s="12" t="n">
        <v>71.12258776859505</v>
      </c>
      <c r="R59" s="2" t="inlineStr">
        <is>
          <t>check</t>
        </is>
      </c>
    </row>
    <row r="60">
      <c r="C60" s="13" t="inlineStr">
        <is>
          <t>3 wells closest to 
Rio Grande:
Buckman 1, 7, 8; Row 13, Column 11</t>
        </is>
      </c>
      <c r="F60" s="12" t="n">
        <v>42.92080661157025</v>
      </c>
      <c r="G60" s="12" t="n">
        <v>31.89384198347108</v>
      </c>
      <c r="H60" s="12" t="n">
        <v>44.08372165289256</v>
      </c>
      <c r="I60" s="12" t="n">
        <v>45.00779504132232</v>
      </c>
      <c r="J60" s="12" t="n">
        <v>37.43328396694214</v>
      </c>
      <c r="K60" s="12" t="n">
        <v>33.10500495867768</v>
      </c>
      <c r="L60" s="12" t="n">
        <v>35.35285090909091</v>
      </c>
      <c r="M60" s="12" t="n">
        <v>57.67850776859503</v>
      </c>
      <c r="N60" s="12" t="n">
        <v>54.81276694214876</v>
      </c>
      <c r="O60" s="12" t="n">
        <v>45.67336066115702</v>
      </c>
      <c r="P60" s="12" t="n">
        <v>35.7087867768595</v>
      </c>
      <c r="Q60" s="12" t="n">
        <v>30.13009388429752</v>
      </c>
      <c r="R60" s="14" t="n">
        <v>493.8008211570248</v>
      </c>
    </row>
    <row r="62">
      <c r="C62" s="15" t="inlineStr">
        <is>
          <t>CROSS-CHECK (formulas)</t>
        </is>
      </c>
    </row>
    <row r="63">
      <c r="C63" s="16" t="inlineStr">
        <is>
          <t>CFS SUMIF: above Otowi</t>
        </is>
      </c>
      <c r="F63" s="17">
        <f>SUMIF($R$2:$R$45,"above",F$2:F$45)-F53</f>
        <v/>
      </c>
      <c r="G63" s="17">
        <f>SUMIF($R$2:$R$45,"above",G$2:G$45)-G53</f>
        <v/>
      </c>
      <c r="H63" s="17">
        <f>SUMIF($R$2:$R$45,"above",H$2:H$45)-H53</f>
        <v/>
      </c>
      <c r="I63" s="17">
        <f>SUMIF($R$2:$R$45,"above",I$2:I$45)-I53</f>
        <v/>
      </c>
      <c r="J63" s="17">
        <f>SUMIF($R$2:$R$45,"above",J$2:J$45)-J53</f>
        <v/>
      </c>
      <c r="K63" s="17">
        <f>SUMIF($R$2:$R$45,"above",K$2:K$45)-K53</f>
        <v/>
      </c>
      <c r="L63" s="17">
        <f>SUMIF($R$2:$R$45,"above",L$2:L$45)-L53</f>
        <v/>
      </c>
      <c r="M63" s="17">
        <f>SUMIF($R$2:$R$45,"above",M$2:M$45)-M53</f>
        <v/>
      </c>
      <c r="N63" s="17">
        <f>SUMIF($R$2:$R$45,"above",N$2:N$45)-N53</f>
        <v/>
      </c>
      <c r="O63" s="17">
        <f>SUMIF($R$2:$R$45,"above",O$2:O$45)-O53</f>
        <v/>
      </c>
      <c r="P63" s="17">
        <f>SUMIF($R$2:$R$45,"above",P$2:P$45)-P53</f>
        <v/>
      </c>
      <c r="Q63" s="17">
        <f>SUMIF($R$2:$R$45,"above",Q$2:Q$45)-Q53</f>
        <v/>
      </c>
    </row>
    <row r="64">
      <c r="C64" s="16" t="inlineStr">
        <is>
          <t>CFS SUMIF: below Otowi</t>
        </is>
      </c>
      <c r="F64" s="17">
        <f>SUMIF($R$2:$R$45,"below",F$2:F$45)-F54</f>
        <v/>
      </c>
      <c r="G64" s="17">
        <f>SUMIF($R$2:$R$45,"below",G$2:G$45)-G54</f>
        <v/>
      </c>
      <c r="H64" s="17">
        <f>SUMIF($R$2:$R$45,"below",H$2:H$45)-H54</f>
        <v/>
      </c>
      <c r="I64" s="17">
        <f>SUMIF($R$2:$R$45,"below",I$2:I$45)-I54</f>
        <v/>
      </c>
      <c r="J64" s="17">
        <f>SUMIF($R$2:$R$45,"below",J$2:J$45)-J54</f>
        <v/>
      </c>
      <c r="K64" s="17">
        <f>SUMIF($R$2:$R$45,"below",K$2:K$45)-K54</f>
        <v/>
      </c>
      <c r="L64" s="17">
        <f>SUMIF($R$2:$R$45,"below",L$2:L$45)-L54</f>
        <v/>
      </c>
      <c r="M64" s="17">
        <f>SUMIF($R$2:$R$45,"below",M$2:M$45)-M54</f>
        <v/>
      </c>
      <c r="N64" s="17">
        <f>SUMIF($R$2:$R$45,"below",N$2:N$45)-N54</f>
        <v/>
      </c>
      <c r="O64" s="17">
        <f>SUMIF($R$2:$R$45,"below",O$2:O$45)-O54</f>
        <v/>
      </c>
      <c r="P64" s="17">
        <f>SUMIF($R$2:$R$45,"below",P$2:P$45)-P54</f>
        <v/>
      </c>
      <c r="Q64" s="17">
        <f>SUMIF($R$2:$R$45,"below",Q$2:Q$45)-Q54</f>
        <v/>
      </c>
    </row>
    <row r="65">
      <c r="C65" s="16" t="inlineStr">
        <is>
          <t>CFS SUM: above (rows 20-29)</t>
        </is>
      </c>
      <c r="F65" s="17">
        <f>SUM(F20:F29)-F53</f>
        <v/>
      </c>
      <c r="G65" s="17">
        <f>SUM(G20:G29)-G53</f>
        <v/>
      </c>
      <c r="H65" s="17">
        <f>SUM(H20:H29)-H53</f>
        <v/>
      </c>
      <c r="I65" s="17">
        <f>SUM(I20:I29)-I53</f>
        <v/>
      </c>
      <c r="J65" s="17">
        <f>SUM(J20:J29)-J53</f>
        <v/>
      </c>
      <c r="K65" s="17">
        <f>SUM(K20:K29)-K53</f>
        <v/>
      </c>
      <c r="L65" s="17">
        <f>SUM(L20:L29)-L53</f>
        <v/>
      </c>
      <c r="M65" s="17">
        <f>SUM(M20:M29)-M53</f>
        <v/>
      </c>
      <c r="N65" s="17">
        <f>SUM(N20:N29)-N53</f>
        <v/>
      </c>
      <c r="O65" s="17">
        <f>SUM(O20:O29)-O53</f>
        <v/>
      </c>
      <c r="P65" s="17">
        <f>SUM(P20:P29)-P53</f>
        <v/>
      </c>
      <c r="Q65" s="17">
        <f>SUM(Q20:Q29)-Q53</f>
        <v/>
      </c>
    </row>
    <row r="66">
      <c r="C66" s="16" t="inlineStr">
        <is>
          <t>CFS SUM: below (rows 30-45)</t>
        </is>
      </c>
      <c r="F66" s="17">
        <f>SUM(F30:F45)-F54</f>
        <v/>
      </c>
      <c r="G66" s="17">
        <f>SUM(G30:G45)-G54</f>
        <v/>
      </c>
      <c r="H66" s="17">
        <f>SUM(H30:H45)-H54</f>
        <v/>
      </c>
      <c r="I66" s="17">
        <f>SUM(I30:I45)-I54</f>
        <v/>
      </c>
      <c r="J66" s="17">
        <f>SUM(J30:J45)-J54</f>
        <v/>
      </c>
      <c r="K66" s="17">
        <f>SUM(K30:K45)-K54</f>
        <v/>
      </c>
      <c r="L66" s="17">
        <f>SUM(L30:L45)-L54</f>
        <v/>
      </c>
      <c r="M66" s="17">
        <f>SUM(M30:M45)-M54</f>
        <v/>
      </c>
      <c r="N66" s="17">
        <f>SUM(N30:N45)-N54</f>
        <v/>
      </c>
      <c r="O66" s="17">
        <f>SUM(O30:O45)-O54</f>
        <v/>
      </c>
      <c r="P66" s="17">
        <f>SUM(P30:P45)-P54</f>
        <v/>
      </c>
      <c r="Q66" s="17">
        <f>SUM(Q30:Q45)-Q54</f>
        <v/>
      </c>
    </row>
    <row r="67">
      <c r="C67" s="16" t="inlineStr">
        <is>
          <t>AF check: above Otowi</t>
        </is>
      </c>
      <c r="F67" s="17">
        <f>F53*F52*86400/43560-F56</f>
        <v/>
      </c>
      <c r="G67" s="17">
        <f>G53*G52*86400/43560-G56</f>
        <v/>
      </c>
      <c r="H67" s="17">
        <f>H53*H52*86400/43560-H56</f>
        <v/>
      </c>
      <c r="I67" s="17">
        <f>I53*I52*86400/43560-I56</f>
        <v/>
      </c>
      <c r="J67" s="17">
        <f>J53*J52*86400/43560-J56</f>
        <v/>
      </c>
      <c r="K67" s="17">
        <f>K53*K52*86400/43560-K56</f>
        <v/>
      </c>
      <c r="L67" s="17">
        <f>L53*L52*86400/43560-L56</f>
        <v/>
      </c>
      <c r="M67" s="17">
        <f>M53*M52*86400/43560-M56</f>
        <v/>
      </c>
      <c r="N67" s="17">
        <f>N53*N52*86400/43560-N56</f>
        <v/>
      </c>
      <c r="O67" s="17">
        <f>O53*O52*86400/43560-O56</f>
        <v/>
      </c>
      <c r="P67" s="17">
        <f>P53*P52*86400/43560-P56</f>
        <v/>
      </c>
      <c r="Q67" s="17">
        <f>Q53*Q52*86400/43560-Q56</f>
        <v/>
      </c>
      <c r="R67" s="17">
        <f>SUM(F67:Q67)</f>
        <v/>
      </c>
    </row>
    <row r="68">
      <c r="C68" s="16" t="inlineStr">
        <is>
          <t>AF check: below Otowi</t>
        </is>
      </c>
      <c r="F68" s="17">
        <f>F54*F52*86400/43560-F57</f>
        <v/>
      </c>
      <c r="G68" s="17">
        <f>G54*G52*86400/43560-G57</f>
        <v/>
      </c>
      <c r="H68" s="17">
        <f>H54*H52*86400/43560-H57</f>
        <v/>
      </c>
      <c r="I68" s="17">
        <f>I54*I52*86400/43560-I57</f>
        <v/>
      </c>
      <c r="J68" s="17">
        <f>J54*J52*86400/43560-J57</f>
        <v/>
      </c>
      <c r="K68" s="17">
        <f>K54*K52*86400/43560-K57</f>
        <v/>
      </c>
      <c r="L68" s="17">
        <f>L54*L52*86400/43560-L57</f>
        <v/>
      </c>
      <c r="M68" s="17">
        <f>M54*M52*86400/43560-M57</f>
        <v/>
      </c>
      <c r="N68" s="17">
        <f>N54*N52*86400/43560-N57</f>
        <v/>
      </c>
      <c r="O68" s="17">
        <f>O54*O52*86400/43560-O57</f>
        <v/>
      </c>
      <c r="P68" s="17">
        <f>P54*P52*86400/43560-P57</f>
        <v/>
      </c>
      <c r="Q68" s="17">
        <f>Q54*Q52*86400/43560-Q57</f>
        <v/>
      </c>
      <c r="R68" s="17">
        <f>SUM(F68:Q68)</f>
        <v/>
      </c>
    </row>
    <row r="69">
      <c r="C69" s="16" t="inlineStr">
        <is>
          <t>Total check: above+below−sum</t>
        </is>
      </c>
      <c r="F69" s="17">
        <f>F56+F57-F58</f>
        <v/>
      </c>
      <c r="G69" s="17">
        <f>G56+G57-G58</f>
        <v/>
      </c>
      <c r="H69" s="17">
        <f>H56+H57-H58</f>
        <v/>
      </c>
      <c r="I69" s="17">
        <f>I56+I57-I58</f>
        <v/>
      </c>
      <c r="J69" s="17">
        <f>J56+J57-J58</f>
        <v/>
      </c>
      <c r="K69" s="17">
        <f>K56+K57-K58</f>
        <v/>
      </c>
      <c r="L69" s="17">
        <f>L56+L57-L58</f>
        <v/>
      </c>
      <c r="M69" s="17">
        <f>M56+M57-M58</f>
        <v/>
      </c>
      <c r="N69" s="17">
        <f>N56+N57-N58</f>
        <v/>
      </c>
      <c r="O69" s="17">
        <f>O56+O57-O58</f>
        <v/>
      </c>
      <c r="P69" s="17">
        <f>P56+P57-P58</f>
        <v/>
      </c>
      <c r="Q69" s="17">
        <f>Q56+Q57-Q58</f>
        <v/>
      </c>
    </row>
    <row r="70">
      <c r="C70" s="16" t="inlineStr">
        <is>
          <t>RG reported check: sum−sfmodflx</t>
        </is>
      </c>
      <c r="F70" s="17">
        <f>F58-F59</f>
        <v/>
      </c>
      <c r="G70" s="17">
        <f>G58-G59</f>
        <v/>
      </c>
      <c r="H70" s="17">
        <f>H58-H59</f>
        <v/>
      </c>
      <c r="I70" s="17">
        <f>I58-I59</f>
        <v/>
      </c>
      <c r="J70" s="17">
        <f>J58-J59</f>
        <v/>
      </c>
      <c r="K70" s="17">
        <f>K58-K59</f>
        <v/>
      </c>
      <c r="L70" s="17">
        <f>L58-L59</f>
        <v/>
      </c>
      <c r="M70" s="17">
        <f>M58-M59</f>
        <v/>
      </c>
      <c r="N70" s="17">
        <f>N58-N59</f>
        <v/>
      </c>
      <c r="O70" s="17">
        <f>O58-O59</f>
        <v/>
      </c>
      <c r="P70" s="17">
        <f>P58-P59</f>
        <v/>
      </c>
      <c r="Q70" s="17">
        <f>Q58-Q59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2026-04-08T16:27:03Z</dcterms:created>
  <dcterms:modified xmlns:dcterms="http://purl.org/dc/terms/" xmlns:xsi="http://www.w3.org/2001/XMLSchema-instance" xsi:type="dcterms:W3CDTF">2026-04-08T16:27:03Z</dcterms:modified>
</cp:coreProperties>
</file>