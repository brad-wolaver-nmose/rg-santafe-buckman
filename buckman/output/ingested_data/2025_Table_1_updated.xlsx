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13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1351.911694</v>
      </c>
      <c r="U28" s="8" t="n">
        <v>12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1050.41</v>
      </c>
      <c r="U29" s="8" t="n">
        <v>11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975.47</v>
      </c>
      <c r="U30" s="8" t="n">
        <v>10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924.8200000000001</v>
      </c>
      <c r="U31" s="8" t="n">
        <v>9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866.48</v>
      </c>
      <c r="U32" s="8" t="n">
        <v>8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831.16</v>
      </c>
      <c r="U33" s="8" t="n">
        <v>7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674.09</v>
      </c>
      <c r="U34" s="8" t="n">
        <v>6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658.9299999999999</v>
      </c>
      <c r="U35" s="8" t="n">
        <v>5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632.6</v>
      </c>
      <c r="U36" s="8" t="n">
        <v>4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627.77</v>
      </c>
      <c r="U37" s="8" t="n">
        <v>3</v>
      </c>
    </row>
    <row r="38">
      <c r="A38" s="6" t="n">
        <v>2024</v>
      </c>
      <c r="B38" s="7" t="n">
        <v>601.279624</v>
      </c>
      <c r="C38" s="7" t="n">
        <v>0.009207</v>
      </c>
      <c r="D38" s="7" t="n">
        <v>56.227742</v>
      </c>
      <c r="E38" s="7" t="n">
        <v>63.335233</v>
      </c>
      <c r="F38" s="7" t="n">
        <v>0</v>
      </c>
      <c r="G38" s="7" t="n">
        <v>152.221835</v>
      </c>
      <c r="H38" s="7" t="n">
        <v>1.00045</v>
      </c>
      <c r="I38" s="7" t="n">
        <v>111.46731</v>
      </c>
      <c r="J38" s="7" t="n">
        <v>0.524776</v>
      </c>
      <c r="K38" s="7" t="n">
        <v>151.417792</v>
      </c>
      <c r="L38" s="7" t="n">
        <v>13.619622</v>
      </c>
      <c r="M38" s="7" t="n">
        <v>9.801954</v>
      </c>
      <c r="N38" s="7" t="n">
        <v>212.018667</v>
      </c>
      <c r="O38" s="7" t="n">
        <v>1372.924212</v>
      </c>
      <c r="T38" s="7" t="n">
        <v>574.8</v>
      </c>
      <c r="U38" s="8" t="n">
        <v>2</v>
      </c>
    </row>
    <row r="39">
      <c r="A39" s="9" t="n">
        <v>2025</v>
      </c>
      <c r="B39" s="10" t="n">
        <v>498.696678</v>
      </c>
      <c r="C39" s="10" t="n">
        <v>0</v>
      </c>
      <c r="D39" s="10" t="n">
        <v>31.188874</v>
      </c>
      <c r="E39" s="10" t="n">
        <v>104.427334</v>
      </c>
      <c r="F39" s="10" t="n">
        <v>0</v>
      </c>
      <c r="G39" s="10" t="n">
        <v>219.043299</v>
      </c>
      <c r="H39" s="10" t="n">
        <v>1.285854</v>
      </c>
      <c r="I39" s="10" t="n">
        <v>125.976903</v>
      </c>
      <c r="J39" s="10" t="n">
        <v>23.433852</v>
      </c>
      <c r="K39" s="10" t="n">
        <v>145.17879</v>
      </c>
      <c r="L39" s="10" t="n">
        <v>80.56384</v>
      </c>
      <c r="M39" s="10" t="n">
        <v>63.918317</v>
      </c>
      <c r="N39" s="10" t="n">
        <v>58.197953</v>
      </c>
      <c r="O39" s="10" t="n">
        <v>1351.911694</v>
      </c>
      <c r="T39" s="10" t="n">
        <v>314.09</v>
      </c>
      <c r="U39" s="8" t="n">
        <v>1</v>
      </c>
    </row>
    <row r="40">
      <c r="A40" s="11" t="inlineStr">
        <is>
          <t>Average,
1988–2025</t>
        </is>
      </c>
      <c r="B40" s="12">
        <f>AVERAGE(B2:B39)</f>
        <v/>
      </c>
      <c r="C40" s="12">
        <f>AVERAGE(C2:C39)</f>
        <v/>
      </c>
      <c r="D40" s="12">
        <f>AVERAGE(D2:D39)</f>
        <v/>
      </c>
      <c r="E40" s="12">
        <f>AVERAGE(E2:E39)</f>
        <v/>
      </c>
      <c r="F40" s="12">
        <f>AVERAGE(F2:F39)</f>
        <v/>
      </c>
      <c r="G40" s="12">
        <f>AVERAGE(G2:G39)</f>
        <v/>
      </c>
      <c r="H40" s="12">
        <f>AVERAGE(H2:H39)</f>
        <v/>
      </c>
      <c r="I40" s="12">
        <f>AVERAGE(I2:I39)</f>
        <v/>
      </c>
      <c r="J40" s="12">
        <f>AVERAGE(J2:J39)</f>
        <v/>
      </c>
      <c r="K40" s="12">
        <f>AVERAGE(K2:K39)</f>
        <v/>
      </c>
      <c r="L40" s="12">
        <f>AVERAGE(L2:L39)</f>
        <v/>
      </c>
      <c r="M40" s="12">
        <f>AVERAGE(M2:M39)</f>
        <v/>
      </c>
      <c r="N40" s="12">
        <f>AVERAGE(N2:N39)</f>
        <v/>
      </c>
      <c r="O40" s="12">
        <f>AVERAGE(O2:O39)</f>
        <v/>
      </c>
    </row>
    <row r="41">
      <c r="A41" s="13" t="inlineStr">
        <is>
          <t>Average,
2022–2025</t>
        </is>
      </c>
      <c r="B41" s="14">
        <f>AVERAGE(B37:B39)</f>
        <v/>
      </c>
      <c r="C41" s="14">
        <f>AVERAGE(C37:C39)</f>
        <v/>
      </c>
      <c r="D41" s="14">
        <f>AVERAGE(D37:D39)</f>
        <v/>
      </c>
      <c r="E41" s="14">
        <f>AVERAGE(E37:E39)</f>
        <v/>
      </c>
      <c r="F41" s="14">
        <f>AVERAGE(F37:F39)</f>
        <v/>
      </c>
      <c r="G41" s="14">
        <f>AVERAGE(G37:G39)</f>
        <v/>
      </c>
      <c r="H41" s="14">
        <f>AVERAGE(H37:H39)</f>
        <v/>
      </c>
      <c r="I41" s="14">
        <f>AVERAGE(I37:I39)</f>
        <v/>
      </c>
      <c r="J41" s="14">
        <f>AVERAGE(J37:J39)</f>
        <v/>
      </c>
      <c r="K41" s="14">
        <f>AVERAGE(K37:K39)</f>
        <v/>
      </c>
      <c r="L41" s="14">
        <f>AVERAGE(L37:L39)</f>
        <v/>
      </c>
      <c r="M41" s="14">
        <f>AVERAGE(M37:M39)</f>
        <v/>
      </c>
      <c r="N41" s="14">
        <f>AVERAGE(N37:N39)</f>
        <v/>
      </c>
      <c r="O41" s="14">
        <f>AVERAGE(O37:O39)</f>
        <v/>
      </c>
    </row>
    <row r="45">
      <c r="A45" s="1" t="inlineStr">
        <is>
          <t>Well:</t>
        </is>
      </c>
      <c r="B45" s="2" t="n">
        <v>1</v>
      </c>
      <c r="C45" s="2" t="n">
        <v>2</v>
      </c>
      <c r="D45" s="2" t="inlineStr">
        <is>
          <t>3/3A</t>
        </is>
      </c>
      <c r="E45" s="2" t="n">
        <v>4</v>
      </c>
      <c r="F45" s="2" t="n">
        <v>5</v>
      </c>
      <c r="G45" s="2" t="n">
        <v>6</v>
      </c>
      <c r="H45" s="2" t="n">
        <v>7</v>
      </c>
      <c r="I45" s="2" t="n">
        <v>8</v>
      </c>
      <c r="J45" s="2" t="n">
        <v>9</v>
      </c>
      <c r="K45" s="2" t="n">
        <v>10</v>
      </c>
      <c r="L45" s="2" t="n">
        <v>11</v>
      </c>
      <c r="M45" s="2" t="n">
        <v>12</v>
      </c>
      <c r="N45" s="2" t="n">
        <v>13</v>
      </c>
      <c r="O45" s="2" t="inlineStr">
        <is>
          <t>Total</t>
        </is>
      </c>
    </row>
    <row r="46">
      <c r="A46" s="8" t="inlineStr">
        <is>
          <t>Pecent</t>
        </is>
      </c>
      <c r="B46" s="15">
        <f>B39/$O$39</f>
        <v/>
      </c>
      <c r="C46" s="15">
        <f>C39/$O$39</f>
        <v/>
      </c>
      <c r="D46" s="15">
        <f>D39/$O$39</f>
        <v/>
      </c>
      <c r="E46" s="15">
        <f>E39/$O$39</f>
        <v/>
      </c>
      <c r="F46" s="15">
        <f>F39/$O$39</f>
        <v/>
      </c>
      <c r="G46" s="15">
        <f>G39/$O$39</f>
        <v/>
      </c>
      <c r="H46" s="15">
        <f>H39/$O$39</f>
        <v/>
      </c>
      <c r="I46" s="15">
        <f>I39/$O$39</f>
        <v/>
      </c>
      <c r="J46" s="15">
        <f>J39/$O$39</f>
        <v/>
      </c>
      <c r="K46" s="15">
        <f>K39/$O$39</f>
        <v/>
      </c>
      <c r="L46" s="15">
        <f>L39/$O$39</f>
        <v/>
      </c>
      <c r="M46" s="15">
        <f>M39/$O$39</f>
        <v/>
      </c>
      <c r="N46" s="15">
        <f>N39/$O$39</f>
        <v/>
      </c>
      <c r="O46" s="16">
        <f>SUM(B46:N46)</f>
        <v/>
      </c>
    </row>
    <row r="48">
      <c r="N48" s="17">
        <f>SUM(K39:N39)</f>
        <v/>
      </c>
    </row>
    <row r="49">
      <c r="N49" s="18">
        <f>K46+L46+M46+N46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2026-02-16T18:22:24Z</dcterms:created>
  <dcterms:modified xmlns:dcterms="http://purl.org/dc/terms/" xmlns:xsi="http://www.w3.org/2001/XMLSchema-instance" xsi:type="dcterms:W3CDTF">2026-02-16T18:22:24Z</dcterms:modified>
</cp:coreProperties>
</file>