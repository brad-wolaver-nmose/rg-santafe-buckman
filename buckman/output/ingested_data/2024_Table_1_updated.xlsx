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12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1050.41</v>
      </c>
      <c r="U28" s="8" t="n">
        <v>11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975.47</v>
      </c>
      <c r="U29" s="8" t="n">
        <v>10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924.8200000000001</v>
      </c>
      <c r="U30" s="8" t="n">
        <v>9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866.48</v>
      </c>
      <c r="U31" s="8" t="n">
        <v>8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831.16</v>
      </c>
      <c r="U32" s="8" t="n">
        <v>7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674.09</v>
      </c>
      <c r="U33" s="8" t="n">
        <v>6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658.9299999999999</v>
      </c>
      <c r="U34" s="8" t="n">
        <v>5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632.6</v>
      </c>
      <c r="U35" s="8" t="n">
        <v>4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627.77</v>
      </c>
      <c r="U36" s="8" t="n">
        <v>3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574.8</v>
      </c>
      <c r="U37" s="8" t="n">
        <v>2</v>
      </c>
    </row>
    <row r="38">
      <c r="A38" s="9" t="n">
        <v>2024</v>
      </c>
      <c r="B38" s="10" t="n">
        <v>601.279624</v>
      </c>
      <c r="C38" s="10" t="n">
        <v>0.009207</v>
      </c>
      <c r="D38" s="10" t="n">
        <v>56.227742</v>
      </c>
      <c r="E38" s="10" t="n">
        <v>63.335233</v>
      </c>
      <c r="F38" s="10" t="n">
        <v>0</v>
      </c>
      <c r="G38" s="10" t="n">
        <v>152.221835</v>
      </c>
      <c r="H38" s="10" t="n">
        <v>1.00045</v>
      </c>
      <c r="I38" s="10" t="n">
        <v>111.46731</v>
      </c>
      <c r="J38" s="10" t="n">
        <v>0.524776</v>
      </c>
      <c r="K38" s="10" t="n">
        <v>151.417792</v>
      </c>
      <c r="L38" s="10" t="n">
        <v>13.619622</v>
      </c>
      <c r="M38" s="10" t="n">
        <v>9.801954</v>
      </c>
      <c r="N38" s="10" t="n">
        <v>212.018667</v>
      </c>
      <c r="O38" s="10">
        <f>SUM(B38:N38)</f>
        <v/>
      </c>
      <c r="T38" s="10" t="n">
        <v>314.09</v>
      </c>
      <c r="U38" s="8" t="n">
        <v>1</v>
      </c>
    </row>
    <row r="39">
      <c r="A39" s="11" t="inlineStr">
        <is>
          <t>Average,
1988–2024</t>
        </is>
      </c>
      <c r="B39" s="12">
        <f>AVERAGE(B2:B38)</f>
        <v/>
      </c>
      <c r="C39" s="12">
        <f>AVERAGE(C2:C38)</f>
        <v/>
      </c>
      <c r="D39" s="12">
        <f>AVERAGE(D2:D38)</f>
        <v/>
      </c>
      <c r="E39" s="12">
        <f>AVERAGE(E2:E38)</f>
        <v/>
      </c>
      <c r="F39" s="12">
        <f>AVERAGE(F2:F38)</f>
        <v/>
      </c>
      <c r="G39" s="12">
        <f>AVERAGE(G2:G38)</f>
        <v/>
      </c>
      <c r="H39" s="12">
        <f>AVERAGE(H2:H38)</f>
        <v/>
      </c>
      <c r="I39" s="12">
        <f>AVERAGE(I2:I38)</f>
        <v/>
      </c>
      <c r="J39" s="12">
        <f>AVERAGE(J2:J38)</f>
        <v/>
      </c>
      <c r="K39" s="12">
        <f>AVERAGE(K2:K38)</f>
        <v/>
      </c>
      <c r="L39" s="12">
        <f>AVERAGE(L2:L38)</f>
        <v/>
      </c>
      <c r="M39" s="12">
        <f>AVERAGE(M2:M38)</f>
        <v/>
      </c>
      <c r="N39" s="12">
        <f>AVERAGE(N2:N38)</f>
        <v/>
      </c>
      <c r="O39" s="12">
        <f>AVERAGE(O2:O38)</f>
        <v/>
      </c>
    </row>
    <row r="40">
      <c r="A40" s="13" t="inlineStr">
        <is>
          <t>Average,
2022–2024</t>
        </is>
      </c>
      <c r="B40" s="14">
        <f>AVERAGE(B36:B38)</f>
        <v/>
      </c>
      <c r="C40" s="14">
        <f>AVERAGE(C36:C38)</f>
        <v/>
      </c>
      <c r="D40" s="14">
        <f>AVERAGE(D36:D38)</f>
        <v/>
      </c>
      <c r="E40" s="14">
        <f>AVERAGE(E36:E38)</f>
        <v/>
      </c>
      <c r="F40" s="14">
        <f>AVERAGE(F36:F38)</f>
        <v/>
      </c>
      <c r="G40" s="14">
        <f>AVERAGE(G36:G38)</f>
        <v/>
      </c>
      <c r="H40" s="14">
        <f>AVERAGE(H36:H38)</f>
        <v/>
      </c>
      <c r="I40" s="14">
        <f>AVERAGE(I36:I38)</f>
        <v/>
      </c>
      <c r="J40" s="14">
        <f>AVERAGE(J36:J38)</f>
        <v/>
      </c>
      <c r="K40" s="14">
        <f>AVERAGE(K36:K38)</f>
        <v/>
      </c>
      <c r="L40" s="14">
        <f>AVERAGE(L36:L38)</f>
        <v/>
      </c>
      <c r="M40" s="14">
        <f>AVERAGE(M36:M38)</f>
        <v/>
      </c>
      <c r="N40" s="14">
        <f>AVERAGE(N36:N38)</f>
        <v/>
      </c>
      <c r="O40" s="14">
        <f>AVERAGE(O36:O38)</f>
        <v/>
      </c>
    </row>
    <row r="44">
      <c r="A44" s="1" t="inlineStr">
        <is>
          <t>Well:</t>
        </is>
      </c>
      <c r="B44" s="2" t="n">
        <v>1</v>
      </c>
      <c r="C44" s="2" t="n">
        <v>2</v>
      </c>
      <c r="D44" s="2" t="inlineStr">
        <is>
          <t>3/3A</t>
        </is>
      </c>
      <c r="E44" s="2" t="n">
        <v>4</v>
      </c>
      <c r="F44" s="2" t="n">
        <v>5</v>
      </c>
      <c r="G44" s="2" t="n">
        <v>6</v>
      </c>
      <c r="H44" s="2" t="n">
        <v>7</v>
      </c>
      <c r="I44" s="2" t="n">
        <v>8</v>
      </c>
      <c r="J44" s="2" t="n">
        <v>9</v>
      </c>
      <c r="K44" s="2" t="n">
        <v>10</v>
      </c>
      <c r="L44" s="2" t="n">
        <v>11</v>
      </c>
      <c r="M44" s="2" t="n">
        <v>12</v>
      </c>
      <c r="N44" s="2" t="n">
        <v>13</v>
      </c>
      <c r="O44" s="2" t="inlineStr">
        <is>
          <t>Total</t>
        </is>
      </c>
    </row>
    <row r="45">
      <c r="A45" s="8" t="inlineStr">
        <is>
          <t>Pecent</t>
        </is>
      </c>
      <c r="B45" s="15">
        <f>B38/$O$38</f>
        <v/>
      </c>
      <c r="C45" s="15">
        <f>C38/$O$38</f>
        <v/>
      </c>
      <c r="D45" s="15">
        <f>D38/$O$38</f>
        <v/>
      </c>
      <c r="E45" s="15">
        <f>E38/$O$38</f>
        <v/>
      </c>
      <c r="F45" s="15">
        <f>F38/$O$38</f>
        <v/>
      </c>
      <c r="G45" s="15">
        <f>G38/$O$38</f>
        <v/>
      </c>
      <c r="H45" s="15">
        <f>H38/$O$38</f>
        <v/>
      </c>
      <c r="I45" s="15">
        <f>I38/$O$38</f>
        <v/>
      </c>
      <c r="J45" s="15">
        <f>J38/$O$38</f>
        <v/>
      </c>
      <c r="K45" s="15">
        <f>K38/$O$38</f>
        <v/>
      </c>
      <c r="L45" s="15">
        <f>L38/$O$38</f>
        <v/>
      </c>
      <c r="M45" s="15">
        <f>M38/$O$38</f>
        <v/>
      </c>
      <c r="N45" s="15">
        <f>N38/$O$38</f>
        <v/>
      </c>
      <c r="O45" s="16">
        <f>SUM(B45:N45)</f>
        <v/>
      </c>
    </row>
    <row r="47">
      <c r="N47" s="17">
        <f>SUM(K38:N38)</f>
        <v/>
      </c>
    </row>
    <row r="48">
      <c r="N48" s="18">
        <f>K45+L45+M45+N45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2026-02-10T17:38:23Z</dcterms:created>
  <dcterms:modified xmlns:dcterms="http://purl.org/dc/terms/" xmlns:xsi="http://www.w3.org/2001/XMLSchema-instance" xsi:type="dcterms:W3CDTF">2026-02-10T17:38:23Z</dcterms:modified>
</cp:coreProperties>
</file>