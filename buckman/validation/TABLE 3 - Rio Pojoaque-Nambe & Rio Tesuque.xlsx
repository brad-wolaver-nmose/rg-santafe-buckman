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mgov-my.sharepoint.com/personal/brad_wolaver_ose_nm_gov/Documents/Documents/_Projects/RG/City_Santa_Fe/Buckman/Reporting/2024 Depletion Memo/TABLES/"/>
    </mc:Choice>
  </mc:AlternateContent>
  <xr:revisionPtr revIDLastSave="4" documentId="8_{D8829D0D-8252-45E0-AB7B-6F61916821BF}" xr6:coauthVersionLast="47" xr6:coauthVersionMax="47" xr10:uidLastSave="{6728FF20-FD60-46C9-B950-053EE35FB591}"/>
  <bookViews>
    <workbookView xWindow="-120" yWindow="-120" windowWidth="29040" windowHeight="17520" tabRatio="812" xr2:uid="{2495BB0D-0BF3-4382-B6F6-12A9CBD59A76}"/>
  </bookViews>
  <sheets>
    <sheet name="Table 3 - Pojoaque-Nambe Tesuqu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5" i="13" l="1"/>
  <c r="G44" i="13"/>
  <c r="G43" i="13"/>
  <c r="G42" i="13"/>
  <c r="G41" i="13"/>
  <c r="G40" i="13"/>
  <c r="G39" i="13"/>
  <c r="G38" i="13"/>
  <c r="G37" i="13"/>
</calcChain>
</file>

<file path=xl/sharedStrings.xml><?xml version="1.0" encoding="utf-8"?>
<sst xmlns="http://schemas.openxmlformats.org/spreadsheetml/2006/main" count="17" uniqueCount="14">
  <si>
    <t>Rio Tesuque</t>
  </si>
  <si>
    <t>Year</t>
  </si>
  <si>
    <t>42.778** (42.781)</t>
  </si>
  <si>
    <t>57.182** (57.185)</t>
  </si>
  <si>
    <t>11.294** (11.295)</t>
  </si>
  <si>
    <t>33.567** (33.568)</t>
  </si>
  <si>
    <t>44.297** (44.306)</t>
  </si>
  <si>
    <t>57.759** (57.768)</t>
  </si>
  <si>
    <t>11.967** (11.968)</t>
  </si>
  <si>
    <t>33.680* (33.711)</t>
  </si>
  <si>
    <t>Rio Pojoaque-Rio Nambe</t>
  </si>
  <si>
    <t>Residual Impact of 1972–1987 Pumping 
(Analytical Model)</t>
  </si>
  <si>
    <t>Impact of
1988–2024 Pumping 
(Superposition Model)</t>
  </si>
  <si>
    <t>Total
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</si>
</sst>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Aptos"/>
      <family val="2"/>
    </font>
    <font>
      <sz val="11"/>
      <color theme="1"/>
      <name val="Aptos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ptos"/>
      <family val="2"/>
    </font>
    <font>
      <b/>
      <sz val="13"/>
      <color theme="3"/>
      <name val="Aptos"/>
      <family val="2"/>
    </font>
    <font>
      <b/>
      <sz val="11"/>
      <color theme="3"/>
      <name val="Aptos"/>
      <family val="2"/>
    </font>
    <font>
      <sz val="11"/>
      <color rgb="FF006100"/>
      <name val="Aptos"/>
      <family val="2"/>
    </font>
    <font>
      <sz val="11"/>
      <color rgb="FF9C0006"/>
      <name val="Aptos"/>
      <family val="2"/>
    </font>
    <font>
      <sz val="11"/>
      <color rgb="FF9C5700"/>
      <name val="Aptos"/>
      <family val="2"/>
    </font>
    <font>
      <sz val="11"/>
      <color rgb="FF3F3F76"/>
      <name val="Aptos"/>
      <family val="2"/>
    </font>
    <font>
      <b/>
      <sz val="11"/>
      <color rgb="FF3F3F3F"/>
      <name val="Aptos"/>
      <family val="2"/>
    </font>
    <font>
      <b/>
      <sz val="11"/>
      <color rgb="FFFA7D00"/>
      <name val="Aptos"/>
      <family val="2"/>
    </font>
    <font>
      <sz val="11"/>
      <color rgb="FFFA7D00"/>
      <name val="Aptos"/>
      <family val="2"/>
    </font>
    <font>
      <b/>
      <sz val="11"/>
      <color theme="0"/>
      <name val="Aptos"/>
      <family val="2"/>
    </font>
    <font>
      <sz val="11"/>
      <color rgb="FFFF0000"/>
      <name val="Aptos"/>
      <family val="2"/>
    </font>
    <font>
      <i/>
      <sz val="11"/>
      <color rgb="FF7F7F7F"/>
      <name val="Aptos"/>
      <family val="2"/>
    </font>
    <font>
      <b/>
      <sz val="11"/>
      <color theme="1"/>
      <name val="Aptos"/>
      <family val="2"/>
    </font>
    <font>
      <sz val="11"/>
      <color theme="0"/>
      <name val="Aptos"/>
      <family val="2"/>
    </font>
    <font>
      <b/>
      <sz val="12"/>
      <color theme="1"/>
      <name val="Aptos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indexed="64"/>
      </bottom>
      <diagonal/>
    </border>
    <border>
      <left/>
      <right/>
      <top/>
      <bottom style="hair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/>
    <xf numFmtId="0" fontId="16" fillId="33" borderId="10" xfId="0" applyFont="1" applyFill="1" applyBorder="1" applyAlignment="1">
      <alignment horizontal="center"/>
    </xf>
    <xf numFmtId="0" fontId="16" fillId="33" borderId="11" xfId="0" applyFont="1" applyFill="1" applyBorder="1" applyAlignment="1">
      <alignment horizontal="center"/>
    </xf>
    <xf numFmtId="0" fontId="0" fillId="33" borderId="11" xfId="0" applyFill="1" applyBorder="1" applyAlignment="1">
      <alignment horizontal="center"/>
    </xf>
    <xf numFmtId="164" fontId="0" fillId="33" borderId="11" xfId="0" applyNumberFormat="1" applyFill="1" applyBorder="1" applyAlignment="1">
      <alignment horizontal="center"/>
    </xf>
    <xf numFmtId="0" fontId="0" fillId="33" borderId="12" xfId="0" applyFill="1" applyBorder="1" applyAlignment="1">
      <alignment horizontal="center"/>
    </xf>
    <xf numFmtId="164" fontId="0" fillId="33" borderId="12" xfId="0" applyNumberFormat="1" applyFill="1" applyBorder="1" applyAlignment="1">
      <alignment horizontal="center"/>
    </xf>
    <xf numFmtId="164" fontId="0" fillId="33" borderId="13" xfId="0" applyNumberFormat="1" applyFill="1" applyBorder="1" applyAlignment="1">
      <alignment horizontal="center"/>
    </xf>
    <xf numFmtId="0" fontId="16" fillId="33" borderId="10" xfId="0" applyFont="1" applyFill="1" applyBorder="1"/>
    <xf numFmtId="0" fontId="16" fillId="33" borderId="10" xfId="0" applyFont="1" applyFill="1" applyBorder="1" applyAlignment="1">
      <alignment horizontal="center" wrapText="1"/>
    </xf>
    <xf numFmtId="0" fontId="16" fillId="33" borderId="13" xfId="0" applyFont="1" applyFill="1" applyBorder="1" applyAlignment="1">
      <alignment horizontal="center"/>
    </xf>
    <xf numFmtId="0" fontId="16" fillId="33" borderId="12" xfId="0" applyFont="1" applyFill="1" applyBorder="1" applyAlignment="1">
      <alignment horizontal="center"/>
    </xf>
    <xf numFmtId="164" fontId="16" fillId="33" borderId="13" xfId="0" applyNumberFormat="1" applyFont="1" applyFill="1" applyBorder="1" applyAlignment="1">
      <alignment horizontal="center"/>
    </xf>
    <xf numFmtId="164" fontId="16" fillId="33" borderId="11" xfId="0" applyNumberFormat="1" applyFont="1" applyFill="1" applyBorder="1" applyAlignment="1">
      <alignment horizontal="center"/>
    </xf>
    <xf numFmtId="164" fontId="16" fillId="33" borderId="12" xfId="0" applyNumberFormat="1" applyFont="1" applyFill="1" applyBorder="1" applyAlignment="1">
      <alignment horizontal="center"/>
    </xf>
    <xf numFmtId="0" fontId="18" fillId="33" borderId="1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E3EC0-1DC2-4DA8-94BA-BFD70D7B4BC8}">
  <dimension ref="A1:G45"/>
  <sheetViews>
    <sheetView tabSelected="1" workbookViewId="0"/>
  </sheetViews>
  <sheetFormatPr defaultRowHeight="15" x14ac:dyDescent="0.25"/>
  <cols>
    <col min="1" max="1" width="8.75" customWidth="1"/>
    <col min="2" max="3" width="20" style="1" customWidth="1"/>
    <col min="4" max="4" width="15.125" style="1" bestFit="1" customWidth="1"/>
    <col min="5" max="6" width="20" style="1" customWidth="1"/>
    <col min="7" max="7" width="15.125" style="1" bestFit="1" customWidth="1"/>
  </cols>
  <sheetData>
    <row r="1" spans="1:7" s="2" customFormat="1" ht="16.5" thickBot="1" x14ac:dyDescent="0.3">
      <c r="A1" s="10"/>
      <c r="B1" s="17" t="s">
        <v>10</v>
      </c>
      <c r="C1" s="17"/>
      <c r="D1" s="17"/>
      <c r="E1" s="17" t="s">
        <v>0</v>
      </c>
      <c r="F1" s="17"/>
      <c r="G1" s="17"/>
    </row>
    <row r="2" spans="1:7" s="2" customFormat="1" ht="58.5" customHeight="1" thickBot="1" x14ac:dyDescent="0.3">
      <c r="A2" s="3" t="s">
        <v>1</v>
      </c>
      <c r="B2" s="11" t="s">
        <v>11</v>
      </c>
      <c r="C2" s="11" t="s">
        <v>12</v>
      </c>
      <c r="D2" s="11" t="s">
        <v>13</v>
      </c>
      <c r="E2" s="11" t="s">
        <v>11</v>
      </c>
      <c r="F2" s="11" t="s">
        <v>12</v>
      </c>
      <c r="G2" s="11" t="s">
        <v>13</v>
      </c>
    </row>
    <row r="3" spans="1:7" x14ac:dyDescent="0.25">
      <c r="A3" s="12">
        <v>1988</v>
      </c>
      <c r="B3" s="9">
        <v>40.432000000000002</v>
      </c>
      <c r="C3" s="9">
        <v>1.0598876033057849</v>
      </c>
      <c r="D3" s="14">
        <v>41.491887603305784</v>
      </c>
      <c r="E3" s="9">
        <v>21.015000000000001</v>
      </c>
      <c r="F3" s="9">
        <v>0.1451900826446281</v>
      </c>
      <c r="G3" s="14">
        <v>21.160190082644629</v>
      </c>
    </row>
    <row r="4" spans="1:7" x14ac:dyDescent="0.25">
      <c r="A4" s="4">
        <v>1989</v>
      </c>
      <c r="B4" s="6">
        <v>39.244</v>
      </c>
      <c r="C4" s="6">
        <v>3.286809917355372</v>
      </c>
      <c r="D4" s="15">
        <v>42.53080991735537</v>
      </c>
      <c r="E4" s="6">
        <v>22.332999999999998</v>
      </c>
      <c r="F4" s="6">
        <v>0.60089256198347107</v>
      </c>
      <c r="G4" s="15">
        <v>22.93389256198347</v>
      </c>
    </row>
    <row r="5" spans="1:7" x14ac:dyDescent="0.25">
      <c r="A5" s="4">
        <v>1990</v>
      </c>
      <c r="B5" s="6">
        <v>37.970999999999997</v>
      </c>
      <c r="C5" s="6">
        <v>5.480429752066116</v>
      </c>
      <c r="D5" s="15">
        <v>43.451429752066112</v>
      </c>
      <c r="E5" s="6">
        <v>23.390999999999998</v>
      </c>
      <c r="F5" s="6">
        <v>1.1655867768595043</v>
      </c>
      <c r="G5" s="15">
        <v>24.556586776859504</v>
      </c>
    </row>
    <row r="6" spans="1:7" x14ac:dyDescent="0.25">
      <c r="A6" s="4">
        <v>1991</v>
      </c>
      <c r="B6" s="6">
        <v>36.557000000000002</v>
      </c>
      <c r="C6" s="6">
        <v>7.3193057851239667</v>
      </c>
      <c r="D6" s="15">
        <v>43.876305785123968</v>
      </c>
      <c r="E6" s="6">
        <v>24.227</v>
      </c>
      <c r="F6" s="6">
        <v>1.6289256198347111</v>
      </c>
      <c r="G6" s="15">
        <v>25.855925619834711</v>
      </c>
    </row>
    <row r="7" spans="1:7" x14ac:dyDescent="0.25">
      <c r="A7" s="4">
        <v>1992</v>
      </c>
      <c r="B7" s="6">
        <v>34.927999999999997</v>
      </c>
      <c r="C7" s="6">
        <v>9.9600396694214872</v>
      </c>
      <c r="D7" s="15">
        <v>44.888039669421488</v>
      </c>
      <c r="E7" s="6">
        <v>24.867999999999999</v>
      </c>
      <c r="F7" s="6">
        <v>2.1633322314049588</v>
      </c>
      <c r="G7" s="15">
        <v>27.031332231404956</v>
      </c>
    </row>
    <row r="8" spans="1:7" x14ac:dyDescent="0.25">
      <c r="A8" s="4">
        <v>1993</v>
      </c>
      <c r="B8" s="6">
        <v>33.112000000000002</v>
      </c>
      <c r="C8" s="6">
        <v>13.118280991735539</v>
      </c>
      <c r="D8" s="15">
        <v>46.23028099173554</v>
      </c>
      <c r="E8" s="6">
        <v>25.327000000000002</v>
      </c>
      <c r="F8" s="6">
        <v>2.8669090909090911</v>
      </c>
      <c r="G8" s="15">
        <v>28.193909090909091</v>
      </c>
    </row>
    <row r="9" spans="1:7" x14ac:dyDescent="0.25">
      <c r="A9" s="4">
        <v>1994</v>
      </c>
      <c r="B9" s="6">
        <v>31.184999999999999</v>
      </c>
      <c r="C9" s="6">
        <v>15.941752066115704</v>
      </c>
      <c r="D9" s="15">
        <v>47.126752066115699</v>
      </c>
      <c r="E9" s="6">
        <v>25.614999999999998</v>
      </c>
      <c r="F9" s="6">
        <v>3.4967603305785127</v>
      </c>
      <c r="G9" s="15">
        <v>29.111760330578512</v>
      </c>
    </row>
    <row r="10" spans="1:7" x14ac:dyDescent="0.25">
      <c r="A10" s="4">
        <v>1995</v>
      </c>
      <c r="B10" s="6">
        <v>29.225999999999999</v>
      </c>
      <c r="C10" s="6">
        <v>18.91001652892562</v>
      </c>
      <c r="D10" s="15">
        <v>48.136016528925623</v>
      </c>
      <c r="E10" s="6">
        <v>25.747</v>
      </c>
      <c r="F10" s="6">
        <v>4.2786446280991743</v>
      </c>
      <c r="G10" s="15">
        <v>30.025644628099172</v>
      </c>
    </row>
    <row r="11" spans="1:7" x14ac:dyDescent="0.25">
      <c r="A11" s="4">
        <v>1996</v>
      </c>
      <c r="B11" s="6">
        <v>27.295999999999999</v>
      </c>
      <c r="C11" s="6">
        <v>21.872885950413224</v>
      </c>
      <c r="D11" s="15">
        <v>49.168885950413227</v>
      </c>
      <c r="E11" s="6">
        <v>25.736999999999998</v>
      </c>
      <c r="F11" s="6">
        <v>4.9292033057851237</v>
      </c>
      <c r="G11" s="15">
        <v>30.666203305785121</v>
      </c>
    </row>
    <row r="12" spans="1:7" x14ac:dyDescent="0.25">
      <c r="A12" s="4">
        <v>1997</v>
      </c>
      <c r="B12" s="6">
        <v>25.439</v>
      </c>
      <c r="C12" s="6">
        <v>24.144297520661162</v>
      </c>
      <c r="D12" s="15">
        <v>49.583297520661162</v>
      </c>
      <c r="E12" s="6">
        <v>25.608000000000001</v>
      </c>
      <c r="F12" s="6">
        <v>5.5166280991735546</v>
      </c>
      <c r="G12" s="15">
        <v>31.124628099173556</v>
      </c>
    </row>
    <row r="13" spans="1:7" x14ac:dyDescent="0.25">
      <c r="A13" s="4">
        <v>1998</v>
      </c>
      <c r="B13" s="6">
        <v>23.678000000000001</v>
      </c>
      <c r="C13" s="6">
        <v>26.656462809917358</v>
      </c>
      <c r="D13" s="15">
        <v>50.334462809917355</v>
      </c>
      <c r="E13" s="6">
        <v>25.378</v>
      </c>
      <c r="F13" s="6">
        <v>6.1537190082644635</v>
      </c>
      <c r="G13" s="15">
        <v>31.531719008264464</v>
      </c>
    </row>
    <row r="14" spans="1:7" x14ac:dyDescent="0.25">
      <c r="A14" s="4">
        <v>1999</v>
      </c>
      <c r="B14" s="6">
        <v>22.027999999999999</v>
      </c>
      <c r="C14" s="6">
        <v>29.378578512396693</v>
      </c>
      <c r="D14" s="15">
        <v>51.406578512396692</v>
      </c>
      <c r="E14" s="6">
        <v>25.067</v>
      </c>
      <c r="F14" s="6">
        <v>6.8197685950413227</v>
      </c>
      <c r="G14" s="15">
        <v>31.886768595041325</v>
      </c>
    </row>
    <row r="15" spans="1:7" x14ac:dyDescent="0.25">
      <c r="A15" s="4">
        <v>2000</v>
      </c>
      <c r="B15" s="6">
        <v>20.491</v>
      </c>
      <c r="C15" s="6">
        <v>32.253976859504128</v>
      </c>
      <c r="D15" s="15">
        <v>52.744976859504128</v>
      </c>
      <c r="E15" s="6">
        <v>24.690999999999999</v>
      </c>
      <c r="F15" s="6">
        <v>7.4119537190082641</v>
      </c>
      <c r="G15" s="15">
        <v>32.102953719008262</v>
      </c>
    </row>
    <row r="16" spans="1:7" x14ac:dyDescent="0.25">
      <c r="A16" s="4">
        <v>2001</v>
      </c>
      <c r="B16" s="6">
        <v>19.068000000000001</v>
      </c>
      <c r="C16" s="6">
        <v>34.714214876033061</v>
      </c>
      <c r="D16" s="15">
        <v>53.782214876033066</v>
      </c>
      <c r="E16" s="6">
        <v>24.265000000000001</v>
      </c>
      <c r="F16" s="6">
        <v>7.9563966942148765</v>
      </c>
      <c r="G16" s="15">
        <v>32.221396694214874</v>
      </c>
    </row>
    <row r="17" spans="1:7" x14ac:dyDescent="0.25">
      <c r="A17" s="4">
        <v>2002</v>
      </c>
      <c r="B17" s="6">
        <v>17.753</v>
      </c>
      <c r="C17" s="6">
        <v>37.610082644628108</v>
      </c>
      <c r="D17" s="15">
        <v>55.363082644628108</v>
      </c>
      <c r="E17" s="6">
        <v>23.8</v>
      </c>
      <c r="F17" s="6">
        <v>8.6586446280991751</v>
      </c>
      <c r="G17" s="15">
        <v>32.458644628099179</v>
      </c>
    </row>
    <row r="18" spans="1:7" x14ac:dyDescent="0.25">
      <c r="A18" s="4">
        <v>2003</v>
      </c>
      <c r="B18" s="6">
        <v>16.542999999999999</v>
      </c>
      <c r="C18" s="6">
        <v>40.57834710743802</v>
      </c>
      <c r="D18" s="15">
        <v>57.121347107438019</v>
      </c>
      <c r="E18" s="6">
        <v>23.308</v>
      </c>
      <c r="F18" s="6">
        <v>9.5056859504132234</v>
      </c>
      <c r="G18" s="15">
        <v>32.813685950413223</v>
      </c>
    </row>
    <row r="19" spans="1:7" x14ac:dyDescent="0.25">
      <c r="A19" s="4">
        <v>2004</v>
      </c>
      <c r="B19" s="6">
        <v>15.429</v>
      </c>
      <c r="C19" s="6">
        <v>41.763118016528928</v>
      </c>
      <c r="D19" s="15">
        <v>57.19211801652893</v>
      </c>
      <c r="E19" s="6">
        <v>22.797000000000001</v>
      </c>
      <c r="F19" s="6">
        <v>10.222335867768596</v>
      </c>
      <c r="G19" s="15">
        <v>33.019335867768596</v>
      </c>
    </row>
    <row r="20" spans="1:7" x14ac:dyDescent="0.25">
      <c r="A20" s="4">
        <v>2005</v>
      </c>
      <c r="B20" s="6">
        <v>14.404</v>
      </c>
      <c r="C20" s="6" t="s">
        <v>2</v>
      </c>
      <c r="D20" s="15" t="s">
        <v>3</v>
      </c>
      <c r="E20" s="6">
        <v>22.273</v>
      </c>
      <c r="F20" s="6" t="s">
        <v>4</v>
      </c>
      <c r="G20" s="15" t="s">
        <v>5</v>
      </c>
    </row>
    <row r="21" spans="1:7" x14ac:dyDescent="0.25">
      <c r="A21" s="4">
        <v>2006</v>
      </c>
      <c r="B21" s="6">
        <v>13.462</v>
      </c>
      <c r="C21" s="6" t="s">
        <v>6</v>
      </c>
      <c r="D21" s="15" t="s">
        <v>7</v>
      </c>
      <c r="E21" s="6">
        <v>21.742999999999999</v>
      </c>
      <c r="F21" s="6" t="s">
        <v>8</v>
      </c>
      <c r="G21" s="15" t="s">
        <v>9</v>
      </c>
    </row>
    <row r="22" spans="1:7" x14ac:dyDescent="0.25">
      <c r="A22" s="4">
        <v>2007</v>
      </c>
      <c r="B22" s="6">
        <v>12.595000000000001</v>
      </c>
      <c r="C22" s="6">
        <v>46.32672595041322</v>
      </c>
      <c r="D22" s="15">
        <v>58.921725950413219</v>
      </c>
      <c r="E22" s="6">
        <v>21.212</v>
      </c>
      <c r="F22" s="6">
        <v>12.709273388429752</v>
      </c>
      <c r="G22" s="15">
        <v>33.921273388429753</v>
      </c>
    </row>
    <row r="23" spans="1:7" x14ac:dyDescent="0.25">
      <c r="A23" s="4">
        <v>2008</v>
      </c>
      <c r="B23" s="6">
        <v>11.797000000000001</v>
      </c>
      <c r="C23" s="6">
        <v>48.425746115702481</v>
      </c>
      <c r="D23" s="15">
        <v>60.222746115702478</v>
      </c>
      <c r="E23" s="6">
        <v>20.683</v>
      </c>
      <c r="F23" s="6">
        <v>13.363285289256197</v>
      </c>
      <c r="G23" s="15">
        <v>34.046285289256197</v>
      </c>
    </row>
    <row r="24" spans="1:7" x14ac:dyDescent="0.25">
      <c r="A24" s="4">
        <v>2009</v>
      </c>
      <c r="B24" s="6">
        <v>11.061</v>
      </c>
      <c r="C24" s="6">
        <v>50.005416198347106</v>
      </c>
      <c r="D24" s="15">
        <v>61.066416198347106</v>
      </c>
      <c r="E24" s="6">
        <v>20.157</v>
      </c>
      <c r="F24" s="6">
        <v>13.875451239669422</v>
      </c>
      <c r="G24" s="15">
        <v>34.03245123966942</v>
      </c>
    </row>
    <row r="25" spans="1:7" x14ac:dyDescent="0.25">
      <c r="A25" s="4">
        <v>2010</v>
      </c>
      <c r="B25" s="6">
        <v>10.382999999999999</v>
      </c>
      <c r="C25" s="6">
        <v>51.722759008264468</v>
      </c>
      <c r="D25" s="15">
        <v>62.105759008264471</v>
      </c>
      <c r="E25" s="6">
        <v>19.638999999999999</v>
      </c>
      <c r="F25" s="6">
        <v>14.525640991735536</v>
      </c>
      <c r="G25" s="15">
        <v>34.164640991735538</v>
      </c>
    </row>
    <row r="26" spans="1:7" x14ac:dyDescent="0.25">
      <c r="A26" s="4">
        <v>2011</v>
      </c>
      <c r="B26" s="6">
        <v>6.1509999999999998</v>
      </c>
      <c r="C26" s="6">
        <v>53.076991735537192</v>
      </c>
      <c r="D26" s="15">
        <v>59.227991735537188</v>
      </c>
      <c r="E26" s="6">
        <v>19.257999999999999</v>
      </c>
      <c r="F26" s="6">
        <v>15.162884628099173</v>
      </c>
      <c r="G26" s="15">
        <v>34.420884628099174</v>
      </c>
    </row>
    <row r="27" spans="1:7" x14ac:dyDescent="0.25">
      <c r="A27" s="4">
        <v>2012</v>
      </c>
      <c r="B27" s="6">
        <v>4.6929999999999996</v>
      </c>
      <c r="C27" s="6">
        <v>53.850386776859494</v>
      </c>
      <c r="D27" s="15">
        <v>58.543386776859492</v>
      </c>
      <c r="E27" s="6">
        <v>18.766999999999999</v>
      </c>
      <c r="F27" s="6">
        <v>15.633092231404959</v>
      </c>
      <c r="G27" s="15">
        <v>34.400092231404955</v>
      </c>
    </row>
    <row r="28" spans="1:7" x14ac:dyDescent="0.25">
      <c r="A28" s="4">
        <v>2013</v>
      </c>
      <c r="B28" s="6">
        <v>3.234</v>
      </c>
      <c r="C28" s="6">
        <v>54.409878347107444</v>
      </c>
      <c r="D28" s="15">
        <v>57.643878347107446</v>
      </c>
      <c r="E28" s="6">
        <v>18.276</v>
      </c>
      <c r="F28" s="6">
        <v>15.945651570247934</v>
      </c>
      <c r="G28" s="15">
        <v>34.221651570247936</v>
      </c>
    </row>
    <row r="29" spans="1:7" x14ac:dyDescent="0.25">
      <c r="A29" s="4">
        <v>2014</v>
      </c>
      <c r="B29" s="6">
        <v>1.7749999999999999</v>
      </c>
      <c r="C29" s="6">
        <v>55.726435041322311</v>
      </c>
      <c r="D29" s="15">
        <v>57.50143504132231</v>
      </c>
      <c r="E29" s="6">
        <v>17.785</v>
      </c>
      <c r="F29" s="6">
        <v>16.473754710743805</v>
      </c>
      <c r="G29" s="15">
        <v>34.258754710743801</v>
      </c>
    </row>
    <row r="30" spans="1:7" x14ac:dyDescent="0.25">
      <c r="A30" s="4">
        <v>2015</v>
      </c>
      <c r="B30" s="6">
        <v>0.316</v>
      </c>
      <c r="C30" s="6">
        <v>56.351408925619843</v>
      </c>
      <c r="D30" s="15">
        <v>56.667408925619846</v>
      </c>
      <c r="E30" s="6">
        <v>17.295000000000002</v>
      </c>
      <c r="F30" s="6">
        <v>16.889884958677683</v>
      </c>
      <c r="G30" s="15">
        <v>34.184884958677685</v>
      </c>
    </row>
    <row r="31" spans="1:7" x14ac:dyDescent="0.25">
      <c r="A31" s="4">
        <v>2016</v>
      </c>
      <c r="B31" s="6"/>
      <c r="C31" s="6">
        <v>56.943599999999996</v>
      </c>
      <c r="D31" s="15">
        <v>56.943599999999996</v>
      </c>
      <c r="E31" s="6">
        <v>16.803999999999998</v>
      </c>
      <c r="F31" s="6">
        <v>17.255621157024795</v>
      </c>
      <c r="G31" s="15">
        <v>34.059621157024793</v>
      </c>
    </row>
    <row r="32" spans="1:7" x14ac:dyDescent="0.25">
      <c r="A32" s="4">
        <v>2017</v>
      </c>
      <c r="B32" s="6"/>
      <c r="C32" s="6">
        <v>57.520379504132237</v>
      </c>
      <c r="D32" s="15">
        <v>57.520379504132237</v>
      </c>
      <c r="E32" s="6">
        <v>16.312999999999999</v>
      </c>
      <c r="F32" s="6">
        <v>17.588134214876032</v>
      </c>
      <c r="G32" s="15">
        <v>33.901134214876031</v>
      </c>
    </row>
    <row r="33" spans="1:7" x14ac:dyDescent="0.25">
      <c r="A33" s="4">
        <v>2018</v>
      </c>
      <c r="B33" s="6"/>
      <c r="C33" s="6">
        <v>58.133410909090905</v>
      </c>
      <c r="D33" s="15">
        <v>58.133410909090905</v>
      </c>
      <c r="E33" s="6">
        <v>15.821999999999999</v>
      </c>
      <c r="F33" s="6">
        <v>17.973911404958677</v>
      </c>
      <c r="G33" s="15">
        <v>33.795911404958673</v>
      </c>
    </row>
    <row r="34" spans="1:7" x14ac:dyDescent="0.25">
      <c r="A34" s="4">
        <v>2019</v>
      </c>
      <c r="B34" s="6"/>
      <c r="C34" s="6">
        <v>58.683032727272725</v>
      </c>
      <c r="D34" s="15">
        <v>58.683032727272725</v>
      </c>
      <c r="E34" s="6">
        <v>15.331</v>
      </c>
      <c r="F34" s="6">
        <v>18.385211900826448</v>
      </c>
      <c r="G34" s="15">
        <v>33.716211900826451</v>
      </c>
    </row>
    <row r="35" spans="1:7" x14ac:dyDescent="0.25">
      <c r="A35" s="4">
        <v>2020</v>
      </c>
      <c r="B35" s="6"/>
      <c r="C35" s="6">
        <v>59.153744132231409</v>
      </c>
      <c r="D35" s="15">
        <v>59.153744132231409</v>
      </c>
      <c r="E35" s="6">
        <v>14.840999999999999</v>
      </c>
      <c r="F35" s="6">
        <v>18.830794710743803</v>
      </c>
      <c r="G35" s="15">
        <v>33.671794710743804</v>
      </c>
    </row>
    <row r="36" spans="1:7" x14ac:dyDescent="0.25">
      <c r="A36" s="4">
        <v>2021</v>
      </c>
      <c r="B36" s="6"/>
      <c r="C36" s="6">
        <v>59.395082975206613</v>
      </c>
      <c r="D36" s="15">
        <v>59.395082975206613</v>
      </c>
      <c r="E36" s="6">
        <v>14.35</v>
      </c>
      <c r="F36" s="6">
        <v>19.179883636363638</v>
      </c>
      <c r="G36" s="15">
        <v>33.529883636363635</v>
      </c>
    </row>
    <row r="37" spans="1:7" x14ac:dyDescent="0.25">
      <c r="A37" s="4">
        <v>2022</v>
      </c>
      <c r="B37" s="6"/>
      <c r="C37" s="6">
        <v>59.844073388429756</v>
      </c>
      <c r="D37" s="15">
        <v>59.844073388429756</v>
      </c>
      <c r="E37" s="6">
        <v>13.859</v>
      </c>
      <c r="F37" s="6">
        <v>19.630853553719007</v>
      </c>
      <c r="G37" s="15">
        <f t="shared" ref="G37:G45" si="0">E37+F37</f>
        <v>33.489853553719009</v>
      </c>
    </row>
    <row r="38" spans="1:7" x14ac:dyDescent="0.25">
      <c r="A38" s="4">
        <v>2023</v>
      </c>
      <c r="B38" s="6"/>
      <c r="C38" s="6">
        <v>60.323301818181818</v>
      </c>
      <c r="D38" s="15">
        <v>60.323301818181818</v>
      </c>
      <c r="E38" s="6">
        <v>13.368</v>
      </c>
      <c r="F38" s="6">
        <v>20.12304991735537</v>
      </c>
      <c r="G38" s="15">
        <f t="shared" si="0"/>
        <v>33.491049917355369</v>
      </c>
    </row>
    <row r="39" spans="1:7" x14ac:dyDescent="0.25">
      <c r="A39" s="4">
        <v>2024</v>
      </c>
      <c r="B39" s="6"/>
      <c r="C39" s="6">
        <v>60.796825785123971</v>
      </c>
      <c r="D39" s="15">
        <v>60.796825785123971</v>
      </c>
      <c r="E39" s="6">
        <v>12.877000000000001</v>
      </c>
      <c r="F39" s="6">
        <v>20.705720330578512</v>
      </c>
      <c r="G39" s="15">
        <f t="shared" si="0"/>
        <v>33.58272033057851</v>
      </c>
    </row>
    <row r="40" spans="1:7" x14ac:dyDescent="0.25">
      <c r="A40" s="4">
        <v>2025</v>
      </c>
      <c r="B40" s="6"/>
      <c r="C40" s="6">
        <v>61.09345785123967</v>
      </c>
      <c r="D40" s="15">
        <v>61.09345785123967</v>
      </c>
      <c r="E40" s="6">
        <v>12.387</v>
      </c>
      <c r="F40" s="6">
        <v>21.187971570247932</v>
      </c>
      <c r="G40" s="15">
        <f t="shared" si="0"/>
        <v>33.574971570247932</v>
      </c>
    </row>
    <row r="41" spans="1:7" x14ac:dyDescent="0.25">
      <c r="A41" s="4">
        <v>2026</v>
      </c>
      <c r="B41" s="5"/>
      <c r="C41" s="6">
        <v>60.902165950413227</v>
      </c>
      <c r="D41" s="15">
        <v>60.902165950413227</v>
      </c>
      <c r="E41" s="5">
        <v>11.896000000000001</v>
      </c>
      <c r="F41" s="6">
        <v>21.602959338842975</v>
      </c>
      <c r="G41" s="15">
        <f t="shared" si="0"/>
        <v>33.49895933884298</v>
      </c>
    </row>
    <row r="42" spans="1:7" x14ac:dyDescent="0.25">
      <c r="A42" s="4">
        <v>2027</v>
      </c>
      <c r="B42" s="5"/>
      <c r="C42" s="6">
        <v>60.556919008264458</v>
      </c>
      <c r="D42" s="15">
        <v>60.556919008264458</v>
      </c>
      <c r="E42" s="5">
        <v>11.404999999999999</v>
      </c>
      <c r="F42" s="6">
        <v>21.938941487603305</v>
      </c>
      <c r="G42" s="15">
        <f t="shared" si="0"/>
        <v>33.343941487603303</v>
      </c>
    </row>
    <row r="43" spans="1:7" x14ac:dyDescent="0.25">
      <c r="A43" s="4">
        <v>2028</v>
      </c>
      <c r="B43" s="5"/>
      <c r="C43" s="6">
        <v>60.440388099173553</v>
      </c>
      <c r="D43" s="15">
        <v>60.440388099173553</v>
      </c>
      <c r="E43" s="5">
        <v>10.914</v>
      </c>
      <c r="F43" s="6">
        <v>22.352370247933884</v>
      </c>
      <c r="G43" s="15">
        <f t="shared" si="0"/>
        <v>33.266370247933885</v>
      </c>
    </row>
    <row r="44" spans="1:7" x14ac:dyDescent="0.25">
      <c r="A44" s="4">
        <v>2029</v>
      </c>
      <c r="B44" s="5"/>
      <c r="C44" s="6">
        <v>60.011688595041321</v>
      </c>
      <c r="D44" s="15">
        <v>60.011688595041321</v>
      </c>
      <c r="E44" s="5">
        <v>10.423999999999999</v>
      </c>
      <c r="F44" s="6">
        <v>22.654032396694213</v>
      </c>
      <c r="G44" s="15">
        <f t="shared" si="0"/>
        <v>33.078032396694212</v>
      </c>
    </row>
    <row r="45" spans="1:7" ht="15.75" thickBot="1" x14ac:dyDescent="0.3">
      <c r="A45" s="13">
        <v>2030</v>
      </c>
      <c r="B45" s="7"/>
      <c r="C45" s="8">
        <v>59.733818181818187</v>
      </c>
      <c r="D45" s="16">
        <v>59.733818181818187</v>
      </c>
      <c r="E45" s="7">
        <v>9.9329999999999998</v>
      </c>
      <c r="F45" s="8">
        <v>23.018907768595042</v>
      </c>
      <c r="G45" s="16">
        <f t="shared" si="0"/>
        <v>32.951907768595042</v>
      </c>
    </row>
  </sheetData>
  <mergeCells count="2">
    <mergeCell ref="B1:D1"/>
    <mergeCell ref="E1:G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4aa6bf4-d436-426f-bfa4-04b7a70e60ff}" enabled="0" method="" siteId="{04aa6bf4-d436-426f-bfa4-04b7a70e60f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3 - Pojoaque-Nambe Tesuqu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Wolaver, Brad, OSE</dc:creator>
  <cp:lastModifiedBy>Wolaver, Brad, OSE</cp:lastModifiedBy>
  <dcterms:created xsi:type="dcterms:W3CDTF">2025-04-21T17:22:55Z</dcterms:created>
  <dcterms:modified xsi:type="dcterms:W3CDTF">2026-02-03T22:13:47Z</dcterms:modified>
</cp:coreProperties>
</file>